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wnloads(D)\Git_Bash\IPMSM-Design-Analysis\Documentation_IPMSM\"/>
    </mc:Choice>
  </mc:AlternateContent>
  <xr:revisionPtr revIDLastSave="0" documentId="13_ncr:1_{D29F2187-0046-4BB9-B667-472A01997721}" xr6:coauthVersionLast="47" xr6:coauthVersionMax="47" xr10:uidLastSave="{00000000-0000-0000-0000-000000000000}"/>
  <bookViews>
    <workbookView xWindow="-108" yWindow="-108" windowWidth="23256" windowHeight="12456" firstSheet="3" activeTab="6" xr2:uid="{BE5D2437-87C2-4BE9-B2C4-8930AC41B7E1}"/>
  </bookViews>
  <sheets>
    <sheet name="Rated_values" sheetId="1" r:id="rId1"/>
    <sheet name="Main_dimensions" sheetId="2" r:id="rId2"/>
    <sheet name="Standard_Wire_Gauge" sheetId="3" r:id="rId3"/>
    <sheet name="Material_Properties" sheetId="4" r:id="rId4"/>
    <sheet name="Sensitivity_Analysis" sheetId="5" r:id="rId5"/>
    <sheet name="Slot_Pole_Combination" sheetId="11" r:id="rId6"/>
    <sheet name="SenAnaly_Source" sheetId="12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1" i="12" l="1"/>
  <c r="AA3" i="12"/>
  <c r="V9" i="12"/>
  <c r="V6" i="12"/>
  <c r="V5" i="12"/>
  <c r="V7" i="12" s="1"/>
  <c r="V3" i="12"/>
  <c r="G68" i="12"/>
  <c r="G70" i="12" s="1"/>
  <c r="G71" i="12" s="1"/>
  <c r="G61" i="12"/>
  <c r="G63" i="12" s="1"/>
  <c r="G60" i="12"/>
  <c r="G59" i="12"/>
  <c r="L45" i="12"/>
  <c r="L44" i="12"/>
  <c r="G44" i="12"/>
  <c r="G46" i="12" s="1"/>
  <c r="G47" i="12" s="1"/>
  <c r="L43" i="12"/>
  <c r="G42" i="12"/>
  <c r="G43" i="12" s="1"/>
  <c r="L31" i="12"/>
  <c r="L30" i="12"/>
  <c r="B27" i="12"/>
  <c r="G23" i="12"/>
  <c r="G24" i="12" s="1"/>
  <c r="B21" i="12"/>
  <c r="G26" i="12" s="1"/>
  <c r="B10" i="12"/>
  <c r="G6" i="12"/>
  <c r="B5" i="12"/>
  <c r="G10" i="12" s="1"/>
  <c r="G16" i="12" s="1"/>
  <c r="B4" i="12"/>
  <c r="G5" i="12" s="1"/>
  <c r="B3" i="12"/>
  <c r="I5" i="11"/>
  <c r="I6" i="11"/>
  <c r="I7" i="11"/>
  <c r="I8" i="11"/>
  <c r="I9" i="11"/>
  <c r="I10" i="11"/>
  <c r="I11" i="11"/>
  <c r="I12" i="11"/>
  <c r="I13" i="11"/>
  <c r="I14" i="11"/>
  <c r="I15" i="11"/>
  <c r="I4" i="11"/>
  <c r="L44" i="2"/>
  <c r="L45" i="2" s="1"/>
  <c r="L43" i="2"/>
  <c r="G23" i="2"/>
  <c r="B14" i="2" s="1"/>
  <c r="B11" i="2" s="1"/>
  <c r="G45" i="12" l="1"/>
  <c r="G27" i="12"/>
  <c r="G28" i="12" s="1"/>
  <c r="G17" i="12"/>
  <c r="G3" i="12"/>
  <c r="B14" i="12"/>
  <c r="B11" i="12" s="1"/>
  <c r="L3" i="12" s="1"/>
  <c r="G69" i="12"/>
  <c r="G4" i="12"/>
  <c r="G15" i="12"/>
  <c r="G24" i="2"/>
  <c r="B4" i="2"/>
  <c r="G7" i="1"/>
  <c r="G5" i="1"/>
  <c r="L6" i="12" l="1"/>
  <c r="G7" i="12"/>
  <c r="G9" i="12" s="1"/>
  <c r="L89" i="12"/>
  <c r="G12" i="12"/>
  <c r="G30" i="12"/>
  <c r="G52" i="12"/>
  <c r="G29" i="12"/>
  <c r="G66" i="12" s="1"/>
  <c r="B21" i="2"/>
  <c r="G26" i="2" s="1"/>
  <c r="G44" i="2"/>
  <c r="G45" i="2" s="1"/>
  <c r="G42" i="2"/>
  <c r="G43" i="2" s="1"/>
  <c r="G68" i="2"/>
  <c r="G69" i="2" s="1"/>
  <c r="B27" i="2"/>
  <c r="D3" i="4"/>
  <c r="G2" i="5"/>
  <c r="F2" i="5"/>
  <c r="D11" i="4"/>
  <c r="G61" i="2"/>
  <c r="G63" i="2" s="1"/>
  <c r="G59" i="2"/>
  <c r="G60" i="2" s="1"/>
  <c r="L31" i="2"/>
  <c r="L30" i="2" s="1"/>
  <c r="B10" i="2"/>
  <c r="G5" i="2"/>
  <c r="G9" i="1"/>
  <c r="G6" i="1"/>
  <c r="G3" i="1"/>
  <c r="G73" i="12" a="1"/>
  <c r="G73" i="12" l="1"/>
  <c r="G74" i="12" s="1"/>
  <c r="B43" i="12"/>
  <c r="G32" i="12"/>
  <c r="G33" i="12" s="1"/>
  <c r="G13" i="12"/>
  <c r="L62" i="12" s="1"/>
  <c r="G11" i="12"/>
  <c r="G20" i="12" s="1"/>
  <c r="L7" i="12"/>
  <c r="L8" i="12"/>
  <c r="G70" i="2"/>
  <c r="G71" i="2" s="1"/>
  <c r="G46" i="2"/>
  <c r="G47" i="2" s="1"/>
  <c r="B5" i="2"/>
  <c r="G10" i="2" s="1"/>
  <c r="G16" i="2" s="1"/>
  <c r="G17" i="2" s="1"/>
  <c r="G6" i="2"/>
  <c r="G15" i="2"/>
  <c r="G75" i="12" a="1"/>
  <c r="G75" i="12" l="1"/>
  <c r="G34" i="12"/>
  <c r="G37" i="12" s="1"/>
  <c r="G38" i="12"/>
  <c r="G35" i="12"/>
  <c r="G18" i="12"/>
  <c r="G19" i="12" s="1"/>
  <c r="G21" i="12" s="1"/>
  <c r="G22" i="12" s="1"/>
  <c r="L10" i="12"/>
  <c r="G12" i="2"/>
  <c r="B3" i="2"/>
  <c r="G41" i="12" a="1"/>
  <c r="G41" i="12" l="1"/>
  <c r="G53" i="12" s="1"/>
  <c r="G56" i="12" s="1"/>
  <c r="G57" i="12" s="1"/>
  <c r="G65" i="12" s="1"/>
  <c r="L67" i="12"/>
  <c r="L66" i="12"/>
  <c r="L11" i="12"/>
  <c r="B30" i="12"/>
  <c r="G27" i="2"/>
  <c r="G28" i="2" s="1"/>
  <c r="G4" i="2"/>
  <c r="L89" i="2" s="1"/>
  <c r="G3" i="2"/>
  <c r="G39" i="12" a="1"/>
  <c r="G48" i="12" a="1"/>
  <c r="L56" i="12" a="1"/>
  <c r="G39" i="12" l="1"/>
  <c r="L56" i="12"/>
  <c r="G48" i="12"/>
  <c r="L71" i="12"/>
  <c r="L85" i="12"/>
  <c r="L80" i="12"/>
  <c r="L75" i="12"/>
  <c r="G51" i="12"/>
  <c r="G7" i="2"/>
  <c r="G9" i="2" s="1"/>
  <c r="G13" i="2" s="1"/>
  <c r="L62" i="2" s="1"/>
  <c r="G52" i="2"/>
  <c r="G30" i="2"/>
  <c r="G32" i="2" s="1"/>
  <c r="G33" i="2" s="1"/>
  <c r="G38" i="2" s="1"/>
  <c r="G29" i="2"/>
  <c r="G66" i="2" s="1"/>
  <c r="G49" i="12" a="1"/>
  <c r="G73" i="2" a="1"/>
  <c r="G49" i="12" l="1"/>
  <c r="L48" i="12"/>
  <c r="L27" i="12"/>
  <c r="B43" i="2"/>
  <c r="G11" i="2"/>
  <c r="G20" i="2" s="1"/>
  <c r="G73" i="2"/>
  <c r="G74" i="2" s="1"/>
  <c r="G35" i="2"/>
  <c r="F3" i="3"/>
  <c r="F5" i="3" s="1"/>
  <c r="L13" i="12" s="1"/>
  <c r="G18" i="2"/>
  <c r="G19" i="2" s="1"/>
  <c r="G34" i="2"/>
  <c r="G37" i="2" s="1"/>
  <c r="L53" i="12" a="1"/>
  <c r="G75" i="2" a="1"/>
  <c r="G41" i="2" a="1"/>
  <c r="L53" i="12" l="1"/>
  <c r="G75" i="2"/>
  <c r="L3" i="2"/>
  <c r="L6" i="2" s="1"/>
  <c r="L7" i="2" s="1"/>
  <c r="G21" i="2"/>
  <c r="G22" i="2" s="1"/>
  <c r="F7" i="3"/>
  <c r="L13" i="2"/>
  <c r="F6" i="3"/>
  <c r="L15" i="12" s="1"/>
  <c r="G41" i="2"/>
  <c r="G51" i="2" s="1"/>
  <c r="L55" i="12" a="1"/>
  <c r="G48" i="2" a="1"/>
  <c r="L17" i="12" l="1"/>
  <c r="L18" i="12" s="1"/>
  <c r="L19" i="12" s="1"/>
  <c r="L14" i="12"/>
  <c r="L55" i="12"/>
  <c r="L8" i="2"/>
  <c r="L10" i="2"/>
  <c r="L66" i="2" s="1"/>
  <c r="G53" i="2"/>
  <c r="G56" i="2" s="1"/>
  <c r="G57" i="2" s="1"/>
  <c r="G65" i="2" s="1"/>
  <c r="G48" i="2"/>
  <c r="L15" i="2"/>
  <c r="L14" i="2"/>
  <c r="L17" i="2"/>
  <c r="L18" i="2" s="1"/>
  <c r="L19" i="2" s="1"/>
  <c r="L21" i="2" a="1"/>
  <c r="G49" i="2" a="1"/>
  <c r="L21" i="12" a="1"/>
  <c r="G39" i="2" a="1"/>
  <c r="L56" i="2" a="1"/>
  <c r="L21" i="12" l="1"/>
  <c r="B30" i="2"/>
  <c r="L11" i="2"/>
  <c r="L67" i="2"/>
  <c r="L80" i="2" s="1"/>
  <c r="G39" i="2"/>
  <c r="L48" i="2" s="1"/>
  <c r="L56" i="2"/>
  <c r="G49" i="2"/>
  <c r="L21" i="2"/>
  <c r="L23" i="2" s="1"/>
  <c r="L22" i="2" s="1"/>
  <c r="L24" i="12" a="1"/>
  <c r="L24" i="2" a="1"/>
  <c r="L24" i="12" l="1"/>
  <c r="L23" i="12"/>
  <c r="L22" i="12" s="1"/>
  <c r="L26" i="12"/>
  <c r="L32" i="12"/>
  <c r="L33" i="12" s="1"/>
  <c r="L34" i="12" s="1"/>
  <c r="L71" i="2"/>
  <c r="L85" i="2"/>
  <c r="L75" i="2"/>
  <c r="L27" i="2"/>
  <c r="L32" i="2"/>
  <c r="L33" i="2" s="1"/>
  <c r="L34" i="2" s="1"/>
  <c r="L26" i="2"/>
  <c r="L24" i="2"/>
  <c r="L50" i="2" a="1"/>
  <c r="L51" i="2" a="1"/>
  <c r="L53" i="2" a="1"/>
  <c r="L50" i="12" a="1"/>
  <c r="L51" i="12" a="1"/>
  <c r="L50" i="12" l="1"/>
  <c r="L51" i="12"/>
  <c r="L35" i="12"/>
  <c r="L36" i="12" s="1"/>
  <c r="L37" i="12" s="1"/>
  <c r="L38" i="12" s="1"/>
  <c r="L61" i="12" s="1"/>
  <c r="L70" i="12"/>
  <c r="L69" i="12"/>
  <c r="L28" i="12"/>
  <c r="L53" i="2"/>
  <c r="L50" i="2"/>
  <c r="L35" i="2"/>
  <c r="L36" i="2" s="1"/>
  <c r="L37" i="2" s="1"/>
  <c r="L38" i="2" s="1"/>
  <c r="L69" i="2"/>
  <c r="L70" i="2"/>
  <c r="L28" i="2"/>
  <c r="L51" i="2"/>
  <c r="L55" i="2" a="1"/>
  <c r="L52" i="2" a="1"/>
  <c r="L52" i="12" a="1"/>
  <c r="L52" i="12" l="1"/>
  <c r="L84" i="12"/>
  <c r="L74" i="12"/>
  <c r="L79" i="12"/>
  <c r="L68" i="12"/>
  <c r="L55" i="2"/>
  <c r="L79" i="2"/>
  <c r="L74" i="2"/>
  <c r="L84" i="2"/>
  <c r="L61" i="2"/>
  <c r="L68" i="2"/>
  <c r="L78" i="2" s="1"/>
  <c r="L52" i="2"/>
  <c r="L54" i="12" a="1"/>
  <c r="L54" i="2" a="1"/>
  <c r="L54" i="12" l="1"/>
  <c r="L57" i="12" s="1"/>
  <c r="L73" i="12"/>
  <c r="L76" i="12" s="1"/>
  <c r="L78" i="12"/>
  <c r="L81" i="12" s="1"/>
  <c r="L83" i="12"/>
  <c r="L86" i="12" s="1"/>
  <c r="L73" i="2"/>
  <c r="L76" i="2" s="1"/>
  <c r="L81" i="2"/>
  <c r="L83" i="2"/>
  <c r="L86" i="2" s="1"/>
  <c r="L54" i="2"/>
  <c r="L57" i="2" s="1"/>
  <c r="L59" i="2" s="1"/>
  <c r="L88" i="12" l="1"/>
  <c r="L90" i="12" s="1"/>
  <c r="L91" i="12" s="1"/>
  <c r="L59" i="12"/>
  <c r="L60" i="12"/>
  <c r="L88" i="2"/>
  <c r="L90" i="2" s="1"/>
  <c r="L91" i="2" s="1"/>
  <c r="L60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<sst xmlns="http://schemas.openxmlformats.org/spreadsheetml/2006/main" count="1246" uniqueCount="483">
  <si>
    <t>Parameter</t>
  </si>
  <si>
    <t>Value</t>
  </si>
  <si>
    <t xml:space="preserve">Unit </t>
  </si>
  <si>
    <t>Description</t>
  </si>
  <si>
    <t>kW</t>
  </si>
  <si>
    <t>Motor delivers this power output continuously at rated speed</t>
  </si>
  <si>
    <t>rpm</t>
  </si>
  <si>
    <t>Rated torque</t>
  </si>
  <si>
    <t>Nm</t>
  </si>
  <si>
    <t>Torque output at rated current</t>
  </si>
  <si>
    <t>V</t>
  </si>
  <si>
    <t>DC Voltage</t>
  </si>
  <si>
    <t>Nominal voltage of battery pack</t>
  </si>
  <si>
    <t>Unit</t>
  </si>
  <si>
    <t>rad/s</t>
  </si>
  <si>
    <t>Torque - over design</t>
  </si>
  <si>
    <t>Power output - over design</t>
  </si>
  <si>
    <t>Rated Power output</t>
  </si>
  <si>
    <t>Power output</t>
  </si>
  <si>
    <t>Rated speed or Base speed</t>
  </si>
  <si>
    <t>Rated speed or Base speed in radians</t>
  </si>
  <si>
    <t>Vline</t>
  </si>
  <si>
    <t>Line-to-line terminal rms voltage (SVPWM)</t>
  </si>
  <si>
    <t>Torque higher than rated torque by 10%</t>
  </si>
  <si>
    <t>Motor delivers continuous rated torque till this speed</t>
  </si>
  <si>
    <t>Rps</t>
  </si>
  <si>
    <t>Torque that can be supplied continuously under normal conditions</t>
  </si>
  <si>
    <t>rps</t>
  </si>
  <si>
    <t>Rated AC supply frequency</t>
  </si>
  <si>
    <t>Hz</t>
  </si>
  <si>
    <t>Input apparent power</t>
  </si>
  <si>
    <t>dEff</t>
  </si>
  <si>
    <t>Desired efficiency of the motor</t>
  </si>
  <si>
    <t>dPF</t>
  </si>
  <si>
    <t>Desired Power factor</t>
  </si>
  <si>
    <t>Connection</t>
  </si>
  <si>
    <t>Star</t>
  </si>
  <si>
    <t>Winding connection type</t>
  </si>
  <si>
    <t>kVA</t>
  </si>
  <si>
    <t>Input real or active power</t>
  </si>
  <si>
    <t xml:space="preserve">Rated torque output </t>
  </si>
  <si>
    <t>A</t>
  </si>
  <si>
    <t>Input terminal current (rms) - star winding</t>
  </si>
  <si>
    <t>Iph_rms</t>
  </si>
  <si>
    <t>Phase current (rms)</t>
  </si>
  <si>
    <t>Vph_rms</t>
  </si>
  <si>
    <t>Phase voltage (rms)</t>
  </si>
  <si>
    <t>Terminal current (Iline)</t>
  </si>
  <si>
    <t>Number of poles</t>
  </si>
  <si>
    <t>Number of slots</t>
  </si>
  <si>
    <t>SPP</t>
  </si>
  <si>
    <t>Slots per Pole per Phase</t>
  </si>
  <si>
    <t>Double layer winding</t>
  </si>
  <si>
    <t>Number of Coils per Pole per Phase</t>
  </si>
  <si>
    <t>Number of Coils per Phase</t>
  </si>
  <si>
    <t>No. of. Coil sides per slot</t>
  </si>
  <si>
    <t>Number of parallel paths in phase winding</t>
  </si>
  <si>
    <t>Ic_rms</t>
  </si>
  <si>
    <t>Coil current (rms)</t>
  </si>
  <si>
    <t>Coil voltage (rms)</t>
  </si>
  <si>
    <t>Vc_rms</t>
  </si>
  <si>
    <t>Kw</t>
  </si>
  <si>
    <t>Winding factor</t>
  </si>
  <si>
    <t>Bav</t>
  </si>
  <si>
    <t>Tesla</t>
  </si>
  <si>
    <t>Magnetic loading</t>
  </si>
  <si>
    <t>ac</t>
  </si>
  <si>
    <t>kA/m</t>
  </si>
  <si>
    <t>Ampere or Electrical loading</t>
  </si>
  <si>
    <t>G</t>
  </si>
  <si>
    <t>Output constant</t>
  </si>
  <si>
    <t>J/m^3</t>
  </si>
  <si>
    <t>D2L</t>
  </si>
  <si>
    <t>mm^3</t>
  </si>
  <si>
    <t>Active volume of rotor</t>
  </si>
  <si>
    <t>Revolution of the rotor per second</t>
  </si>
  <si>
    <t>ar</t>
  </si>
  <si>
    <t>Stator inner diameter</t>
  </si>
  <si>
    <t>mm</t>
  </si>
  <si>
    <t>D</t>
  </si>
  <si>
    <t>L</t>
  </si>
  <si>
    <t>Stack length</t>
  </si>
  <si>
    <t>tau_p</t>
  </si>
  <si>
    <t>Pole pitch</t>
  </si>
  <si>
    <t xml:space="preserve">L/D ratio </t>
  </si>
  <si>
    <t>phi_tot</t>
  </si>
  <si>
    <t>mWb</t>
  </si>
  <si>
    <t>Total air gap flux</t>
  </si>
  <si>
    <t>phi_p</t>
  </si>
  <si>
    <t>Pole flux</t>
  </si>
  <si>
    <t>g</t>
  </si>
  <si>
    <t>Air gap length</t>
  </si>
  <si>
    <t>Aspect ratio (stack length:pole pitch)</t>
  </si>
  <si>
    <t>Stack length:Stator inner diameter</t>
  </si>
  <si>
    <t>bs0</t>
  </si>
  <si>
    <t>Slot opening width</t>
  </si>
  <si>
    <t>hs0</t>
  </si>
  <si>
    <t>Slot opening height</t>
  </si>
  <si>
    <t>Slot depth</t>
  </si>
  <si>
    <t>hs1</t>
  </si>
  <si>
    <t>Bst</t>
  </si>
  <si>
    <t>Maximum flux density in stator tooth</t>
  </si>
  <si>
    <t>Bsy</t>
  </si>
  <si>
    <t>Jsw</t>
  </si>
  <si>
    <t>A/mm2</t>
  </si>
  <si>
    <t>Maximum flux density in stator yoke</t>
  </si>
  <si>
    <t>Ki</t>
  </si>
  <si>
    <t>Stacking or Iron factor</t>
  </si>
  <si>
    <t>phi_tooth,max</t>
  </si>
  <si>
    <t>Maximum flux in stator tooth</t>
  </si>
  <si>
    <t>wst</t>
  </si>
  <si>
    <t>Stator tooth width</t>
  </si>
  <si>
    <t>Stator yoke width</t>
  </si>
  <si>
    <t>Rotor yoke width</t>
  </si>
  <si>
    <t>wry</t>
  </si>
  <si>
    <t>wsy</t>
  </si>
  <si>
    <t>g_emf</t>
  </si>
  <si>
    <t>Gamma EMF (phase back EMF:phase voltage)</t>
  </si>
  <si>
    <t>Phase back EMF</t>
  </si>
  <si>
    <t>Eph</t>
  </si>
  <si>
    <t>Ntph</t>
  </si>
  <si>
    <t>Ntc</t>
  </si>
  <si>
    <t>Ntph_iv</t>
  </si>
  <si>
    <t>Ntc_iv</t>
  </si>
  <si>
    <t>Number of turns per phase (initial value)</t>
  </si>
  <si>
    <t>Number of turns per coil (initial value)</t>
  </si>
  <si>
    <t>Kf</t>
  </si>
  <si>
    <t>Slot fill factor</t>
  </si>
  <si>
    <t>Stator windings current density (max)</t>
  </si>
  <si>
    <t>cAsc_iv</t>
  </si>
  <si>
    <t>Copper area of single conductor (initial value)</t>
  </si>
  <si>
    <t>mm^2</t>
  </si>
  <si>
    <t>cAcs_iv</t>
  </si>
  <si>
    <t>Copper area of single coil side (initial value)</t>
  </si>
  <si>
    <t>gAcs_iv</t>
  </si>
  <si>
    <t>Gross area of single coil side (initial value)</t>
  </si>
  <si>
    <t>cAsc</t>
  </si>
  <si>
    <t>cAcs</t>
  </si>
  <si>
    <t>gAcs</t>
  </si>
  <si>
    <t>hs2</t>
  </si>
  <si>
    <t>bs2</t>
  </si>
  <si>
    <t>Slot bottom width</t>
  </si>
  <si>
    <t>Br</t>
  </si>
  <si>
    <t>Kl</t>
  </si>
  <si>
    <t>Kr</t>
  </si>
  <si>
    <t>Hc</t>
  </si>
  <si>
    <t>Hm</t>
  </si>
  <si>
    <t>Remanence flux density of magnets</t>
  </si>
  <si>
    <t>Leakage factor</t>
  </si>
  <si>
    <t>Reluctance factor</t>
  </si>
  <si>
    <t>Coercivity force</t>
  </si>
  <si>
    <t>Working MMF of magnet (assumption)</t>
  </si>
  <si>
    <t>Bg60</t>
  </si>
  <si>
    <t>Hg60</t>
  </si>
  <si>
    <t>muM</t>
  </si>
  <si>
    <t>Permeability of magnet</t>
  </si>
  <si>
    <t>F/m</t>
  </si>
  <si>
    <t>Air gap flux density at 60 degree</t>
  </si>
  <si>
    <t>A/m</t>
  </si>
  <si>
    <t>Bm</t>
  </si>
  <si>
    <t>Working flux density</t>
  </si>
  <si>
    <t>Carter factor</t>
  </si>
  <si>
    <t>Kc</t>
  </si>
  <si>
    <t>Kgc</t>
  </si>
  <si>
    <t>ge</t>
  </si>
  <si>
    <t>Reluctance ratio</t>
  </si>
  <si>
    <t>Effective air gap length</t>
  </si>
  <si>
    <t>R_slot,open</t>
  </si>
  <si>
    <t>Stator slot pitch (initial design)</t>
  </si>
  <si>
    <t>Open slot reluctance (initial design)</t>
  </si>
  <si>
    <t>Permeability of Vacuum</t>
  </si>
  <si>
    <t>mu0</t>
  </si>
  <si>
    <t>Air gap magnetic field intensity at 60 degree</t>
  </si>
  <si>
    <t>dm_initial</t>
  </si>
  <si>
    <t>wm_initial</t>
  </si>
  <si>
    <t>Depth of the magnet (initial design)</t>
  </si>
  <si>
    <t>Width of the magnet (initial design)</t>
  </si>
  <si>
    <t>AT/Wb</t>
  </si>
  <si>
    <t>wt_rib</t>
  </si>
  <si>
    <t>wr_rib</t>
  </si>
  <si>
    <t>g_alpha_v</t>
  </si>
  <si>
    <t>alpha_v/pi, g_alpha_v&lt;1</t>
  </si>
  <si>
    <t>Average flux density in rotor yoke</t>
  </si>
  <si>
    <t xml:space="preserve">Distance between the holes of pair of PMs  </t>
  </si>
  <si>
    <t xml:space="preserve">Distance between the holes of PMs and rotor’s outer dia </t>
  </si>
  <si>
    <t>alpha_v</t>
  </si>
  <si>
    <t>degree</t>
  </si>
  <si>
    <t>radians</t>
  </si>
  <si>
    <t>D_pc</t>
  </si>
  <si>
    <t>Depth of pole cap</t>
  </si>
  <si>
    <t>phi_pole</t>
  </si>
  <si>
    <t>phi_total</t>
  </si>
  <si>
    <t>phi_tooth</t>
  </si>
  <si>
    <t>Tooth flux</t>
  </si>
  <si>
    <t>Stack length of motor</t>
  </si>
  <si>
    <t>Nlamination</t>
  </si>
  <si>
    <t>Number of laminations</t>
  </si>
  <si>
    <t>Tl</t>
  </si>
  <si>
    <t>Thickness of laminations</t>
  </si>
  <si>
    <t>SWG area</t>
  </si>
  <si>
    <t>SWG diameter</t>
  </si>
  <si>
    <t>SWG#</t>
  </si>
  <si>
    <t>Diameter (mm)</t>
  </si>
  <si>
    <t>Area(mm^2)</t>
  </si>
  <si>
    <t xml:space="preserve">                                        Interpolations</t>
  </si>
  <si>
    <t>(7/0)</t>
  </si>
  <si>
    <t>(6/0)</t>
  </si>
  <si>
    <t>(5/0)</t>
  </si>
  <si>
    <t>(4/0)</t>
  </si>
  <si>
    <t>(3/0)</t>
  </si>
  <si>
    <t>(2/0)</t>
  </si>
  <si>
    <t>Aw</t>
  </si>
  <si>
    <t>cross-section area of single wire</t>
  </si>
  <si>
    <t>Nps</t>
  </si>
  <si>
    <t>Number of strands</t>
  </si>
  <si>
    <t>Diameter</t>
  </si>
  <si>
    <t>Area</t>
  </si>
  <si>
    <t>Dsh</t>
  </si>
  <si>
    <t>Stator outer diameter</t>
  </si>
  <si>
    <t>Shaft diameter</t>
  </si>
  <si>
    <t>Ratio of statot outer diameter to stack length</t>
  </si>
  <si>
    <t>Coil span or Coil pitch</t>
  </si>
  <si>
    <t>slot</t>
  </si>
  <si>
    <t>Pi_coil</t>
  </si>
  <si>
    <t>Slot pitch angle</t>
  </si>
  <si>
    <t>R_avg</t>
  </si>
  <si>
    <t>Slot pitch angle in radians</t>
  </si>
  <si>
    <t>Average radius of the coil span arc</t>
  </si>
  <si>
    <t>L_span</t>
  </si>
  <si>
    <t>Coil span length</t>
  </si>
  <si>
    <t>L_end</t>
  </si>
  <si>
    <t>End length of conductor before bending</t>
  </si>
  <si>
    <t>L_mt</t>
  </si>
  <si>
    <t>Mean turn length of a coil</t>
  </si>
  <si>
    <t>T_amb</t>
  </si>
  <si>
    <t>T_r</t>
  </si>
  <si>
    <t>Ambient temperature</t>
  </si>
  <si>
    <t>Temperature rise</t>
  </si>
  <si>
    <t>Celsius</t>
  </si>
  <si>
    <t>Connection type</t>
  </si>
  <si>
    <t>mu_0</t>
  </si>
  <si>
    <t>H/m</t>
  </si>
  <si>
    <t>Permeability of Air gap</t>
  </si>
  <si>
    <r>
      <t>Rated Speed or Base speed (</t>
    </r>
    <r>
      <rPr>
        <sz val="12"/>
        <color theme="1"/>
        <rFont val="Calibri"/>
        <family val="2"/>
      </rPr>
      <t>ωm)</t>
    </r>
  </si>
  <si>
    <t>Resistivity of Copper at 20 Celsius</t>
  </si>
  <si>
    <t>ohm*m</t>
  </si>
  <si>
    <t>alpha_t</t>
  </si>
  <si>
    <t>Temperature coefficient of copper resistance</t>
  </si>
  <si>
    <t>md_copper</t>
  </si>
  <si>
    <t>md_magnets</t>
  </si>
  <si>
    <t>md_steel</t>
  </si>
  <si>
    <t>Copper mass density</t>
  </si>
  <si>
    <t>Lamination mass density</t>
  </si>
  <si>
    <t>Magnets mass density</t>
  </si>
  <si>
    <t>Kg/m^3</t>
  </si>
  <si>
    <t>Resistivity of copper at working temperature</t>
  </si>
  <si>
    <t>R_coil</t>
  </si>
  <si>
    <t>Coil resistance</t>
  </si>
  <si>
    <t>ohm</t>
  </si>
  <si>
    <t xml:space="preserve">Copper area of single conductor </t>
  </si>
  <si>
    <t xml:space="preserve">Copper area of single coil side </t>
  </si>
  <si>
    <t xml:space="preserve">Gross area of single coil side </t>
  </si>
  <si>
    <t xml:space="preserve">Number of turns per phase </t>
  </si>
  <si>
    <t xml:space="preserve">Number of turns per coil </t>
  </si>
  <si>
    <t>R_ph</t>
  </si>
  <si>
    <t>P_cu</t>
  </si>
  <si>
    <t>Rho_cu(wtemp)</t>
  </si>
  <si>
    <t>Rho_cu(20C)</t>
  </si>
  <si>
    <t>Total copper loss in stator winding</t>
  </si>
  <si>
    <t>W</t>
  </si>
  <si>
    <t>Kg_copper</t>
  </si>
  <si>
    <t>Kg_statorcore</t>
  </si>
  <si>
    <t>Kg_rotorcore</t>
  </si>
  <si>
    <t>Kg_magnets</t>
  </si>
  <si>
    <t>Kg_active parts</t>
  </si>
  <si>
    <t>kg</t>
  </si>
  <si>
    <t>Mass of winding copper</t>
  </si>
  <si>
    <t>Mass of stator core</t>
  </si>
  <si>
    <t>Mass of rotor core</t>
  </si>
  <si>
    <t>Mass of magnets</t>
  </si>
  <si>
    <t>Mass of active parts</t>
  </si>
  <si>
    <t>Power density</t>
  </si>
  <si>
    <t>kW/kg</t>
  </si>
  <si>
    <t>Rho_torque</t>
  </si>
  <si>
    <t xml:space="preserve">Rho_power </t>
  </si>
  <si>
    <t>Output torque per mass of active parts</t>
  </si>
  <si>
    <t>Nm/kg</t>
  </si>
  <si>
    <t>k_motor</t>
  </si>
  <si>
    <t>Motor constant</t>
  </si>
  <si>
    <t>Nm/sqrt(W)</t>
  </si>
  <si>
    <t>Q_in</t>
  </si>
  <si>
    <t>P_in</t>
  </si>
  <si>
    <t>Standard wire gauge</t>
  </si>
  <si>
    <t>Cross-sectional area of single wire</t>
  </si>
  <si>
    <t>Cross-sectional diameter of single wire</t>
  </si>
  <si>
    <t>Input</t>
  </si>
  <si>
    <t>Design variable</t>
  </si>
  <si>
    <t>Objective</t>
  </si>
  <si>
    <t>Calculation points</t>
  </si>
  <si>
    <t>Independent variable</t>
  </si>
  <si>
    <t>Min value</t>
  </si>
  <si>
    <t>Minimum value of design variable</t>
  </si>
  <si>
    <t>Maximum value of design variable</t>
  </si>
  <si>
    <t>Max value</t>
  </si>
  <si>
    <t>Dependent variable</t>
  </si>
  <si>
    <t>Number of data points</t>
  </si>
  <si>
    <t>B_peak</t>
  </si>
  <si>
    <t>Maximum flux density in the air gap</t>
  </si>
  <si>
    <t xml:space="preserve">                         </t>
  </si>
  <si>
    <t>Do</t>
  </si>
  <si>
    <t>Do/L</t>
  </si>
  <si>
    <t>V_drop</t>
  </si>
  <si>
    <t>Voltage drop</t>
  </si>
  <si>
    <t>M_index</t>
  </si>
  <si>
    <t>Modulation index for SVPWM strategy</t>
  </si>
  <si>
    <t xml:space="preserve">                Standard Wire Gauge</t>
  </si>
  <si>
    <t xml:space="preserve">                                                                                                                            Sensitivity Analysis</t>
  </si>
  <si>
    <t xml:space="preserve">                   Independent variables(MD)</t>
  </si>
  <si>
    <t xml:space="preserve">                         Dependent variables(MD)</t>
  </si>
  <si>
    <t>Independents(RV)</t>
  </si>
  <si>
    <t>Dependents(RV)</t>
  </si>
  <si>
    <t>L*Ki</t>
  </si>
  <si>
    <t>Defines net cross-sectional area of iron</t>
  </si>
  <si>
    <t>phi_p/2</t>
  </si>
  <si>
    <t>Maximum flux in stator yoke</t>
  </si>
  <si>
    <t>Bry,avg</t>
  </si>
  <si>
    <t>Pi_short</t>
  </si>
  <si>
    <t>Short pitching by n slots</t>
  </si>
  <si>
    <t>SSA</t>
  </si>
  <si>
    <t>Stator slor area</t>
  </si>
  <si>
    <t>mm2</t>
  </si>
  <si>
    <t>SLA</t>
  </si>
  <si>
    <t>Stator lamination area</t>
  </si>
  <si>
    <t>RLA</t>
  </si>
  <si>
    <t>Rotor lamination area</t>
  </si>
  <si>
    <t xml:space="preserve">                                            Updates and Tuning(MD) </t>
  </si>
  <si>
    <t xml:space="preserve">                                              Material properties</t>
  </si>
  <si>
    <t>Attributes</t>
  </si>
  <si>
    <t>Cell reference</t>
  </si>
  <si>
    <t xml:space="preserve">                                </t>
  </si>
  <si>
    <t>Parameter Name</t>
  </si>
  <si>
    <t>B8</t>
  </si>
  <si>
    <t>B9</t>
  </si>
  <si>
    <t>Ns</t>
  </si>
  <si>
    <t>Copper losses</t>
  </si>
  <si>
    <t xml:space="preserve">                           Slot-Pole Combination analysis      </t>
  </si>
  <si>
    <t>Np</t>
  </si>
  <si>
    <t>Cph</t>
  </si>
  <si>
    <t>Nm = 4; Ns = 12</t>
  </si>
  <si>
    <t>Nm = 4; Ns = 24</t>
  </si>
  <si>
    <t>Nm = 4; Ns = 36</t>
  </si>
  <si>
    <t>Nm = 6; Ns = 18</t>
  </si>
  <si>
    <t>Nm = 6; Ns = 36</t>
  </si>
  <si>
    <t>Nm = 8; Ns = 24</t>
  </si>
  <si>
    <t>Nm = 8; Ns = 48</t>
  </si>
  <si>
    <t>Nm = 8; Ns = 72</t>
  </si>
  <si>
    <t>Nm = 8; Ns = 96</t>
  </si>
  <si>
    <t>Nm = 10; Ns = 30</t>
  </si>
  <si>
    <t>Nm = 10; Ns = 60</t>
  </si>
  <si>
    <t>Nm = 6; Ns = 54</t>
  </si>
  <si>
    <t>Supply frequency</t>
  </si>
  <si>
    <t>Mass of Active parts</t>
  </si>
  <si>
    <t>Vst</t>
  </si>
  <si>
    <t>Vsy</t>
  </si>
  <si>
    <t>Volume of single stator tooth</t>
  </si>
  <si>
    <t>Volume of stator yoke</t>
  </si>
  <si>
    <t>mm3</t>
  </si>
  <si>
    <t>Do/2</t>
  </si>
  <si>
    <t>Outer radius of stator</t>
  </si>
  <si>
    <t>Physt_st</t>
  </si>
  <si>
    <t>Peddy_st</t>
  </si>
  <si>
    <t>Pex_st</t>
  </si>
  <si>
    <t>Physt_sy</t>
  </si>
  <si>
    <t>Peddy_sy</t>
  </si>
  <si>
    <t>Pex_sy</t>
  </si>
  <si>
    <t>Hysteresis loss in stator yoke</t>
  </si>
  <si>
    <t>Eddy current loss in stator yoke</t>
  </si>
  <si>
    <t>Excess loss in stator yoke</t>
  </si>
  <si>
    <t>hs22</t>
  </si>
  <si>
    <t>hs21</t>
  </si>
  <si>
    <t>beta_s</t>
  </si>
  <si>
    <t>beta_s(rad)</t>
  </si>
  <si>
    <t xml:space="preserve">tau_u </t>
  </si>
  <si>
    <t>Ys</t>
  </si>
  <si>
    <t>bs1 or Ws</t>
  </si>
  <si>
    <t>tau_s</t>
  </si>
  <si>
    <t>alpha_s</t>
  </si>
  <si>
    <t>alpha_s(rad)</t>
  </si>
  <si>
    <t>tau_s (rad)</t>
  </si>
  <si>
    <t>Theoretical beta_v</t>
  </si>
  <si>
    <t>Theoretical beta_v in radians</t>
  </si>
  <si>
    <t>alpha_v (rad)</t>
  </si>
  <si>
    <t>dm</t>
  </si>
  <si>
    <t>wm</t>
  </si>
  <si>
    <t>Depth of magnet</t>
  </si>
  <si>
    <t>Width of magnet</t>
  </si>
  <si>
    <t>Magnetic Loading</t>
  </si>
  <si>
    <t>Rated Speed or Base speed (ωm) - over design</t>
  </si>
  <si>
    <t>Speed  - over design</t>
  </si>
  <si>
    <t>Speed higher than rated speed or base speed by 10%</t>
  </si>
  <si>
    <t>f</t>
  </si>
  <si>
    <t>beta_v_th</t>
  </si>
  <si>
    <t>beta_v_th(rad)</t>
  </si>
  <si>
    <t>Coils_tot</t>
  </si>
  <si>
    <t>Total number of coils</t>
  </si>
  <si>
    <t>CPP</t>
  </si>
  <si>
    <t>Number of coils in each parallel path</t>
  </si>
  <si>
    <t>Nc_pp</t>
  </si>
  <si>
    <t>beta_v_FEM</t>
  </si>
  <si>
    <t>beta_v_FEM (rad)</t>
  </si>
  <si>
    <t>Rated Speed or Base speed (ωm)</t>
  </si>
  <si>
    <t>Aspect ratio (ar)</t>
  </si>
  <si>
    <t>B24</t>
  </si>
  <si>
    <t>Stator's outer diameter (Do)</t>
  </si>
  <si>
    <t xml:space="preserve"> </t>
  </si>
  <si>
    <t>degrees</t>
  </si>
  <si>
    <t>beta_v</t>
  </si>
  <si>
    <t>Dpc</t>
  </si>
  <si>
    <t>tesla</t>
  </si>
  <si>
    <t>Eline</t>
  </si>
  <si>
    <t>Line-Line back EMF</t>
  </si>
  <si>
    <t>Phase resistance (DC)</t>
  </si>
  <si>
    <t>R_ph_ac</t>
  </si>
  <si>
    <t>Phase resistance (AC)</t>
  </si>
  <si>
    <t>K_ac</t>
  </si>
  <si>
    <t>AC resistance factor</t>
  </si>
  <si>
    <t>As</t>
  </si>
  <si>
    <t>Vs</t>
  </si>
  <si>
    <t>Area of cross-section of stator</t>
  </si>
  <si>
    <t xml:space="preserve">Volume of stator  </t>
  </si>
  <si>
    <t>Dsh_new</t>
  </si>
  <si>
    <t>Shaft diameter (revised)</t>
  </si>
  <si>
    <t>Is</t>
  </si>
  <si>
    <t>Stator phasor current</t>
  </si>
  <si>
    <t>Eff_max</t>
  </si>
  <si>
    <t>Maximum efficiency of IPMSM</t>
  </si>
  <si>
    <t>Vr</t>
  </si>
  <si>
    <t>Volume of rotor</t>
  </si>
  <si>
    <t>Ar</t>
  </si>
  <si>
    <t>Area of cross-section of rotor</t>
  </si>
  <si>
    <t>Vt</t>
  </si>
  <si>
    <t>Total core volume</t>
  </si>
  <si>
    <t>Hysteresis loss in stator teeth</t>
  </si>
  <si>
    <t>Physt_r</t>
  </si>
  <si>
    <t>Hysteresis loss in rotor</t>
  </si>
  <si>
    <t>Physt_total</t>
  </si>
  <si>
    <t>Total hysteresis losses</t>
  </si>
  <si>
    <t>Eddy current loss in stator teeth</t>
  </si>
  <si>
    <t>Peddy_r</t>
  </si>
  <si>
    <t>Eddy current loss in rotor</t>
  </si>
  <si>
    <t>Peddy_total</t>
  </si>
  <si>
    <t>Total eddy current losses</t>
  </si>
  <si>
    <t>Pex_r</t>
  </si>
  <si>
    <t>Pex_total</t>
  </si>
  <si>
    <t>Excess loss in stator teeth</t>
  </si>
  <si>
    <t>Excess loss in rotor</t>
  </si>
  <si>
    <t>Total excess losses</t>
  </si>
  <si>
    <t>P_fe</t>
  </si>
  <si>
    <t>Total Iron losses</t>
  </si>
  <si>
    <t>P_mech</t>
  </si>
  <si>
    <t>Mechanical losses</t>
  </si>
  <si>
    <t xml:space="preserve">Bry  </t>
  </si>
  <si>
    <t>Maximum flux density in rotor core</t>
  </si>
  <si>
    <t>K_h</t>
  </si>
  <si>
    <t>Hysteresis loss coefficient for M22 24G steel</t>
  </si>
  <si>
    <t>Eddy current loss coefficient for M22 24G steel</t>
  </si>
  <si>
    <t>Excess loss coefficient for M22 24G steel</t>
  </si>
  <si>
    <t>K_c</t>
  </si>
  <si>
    <t>K_e</t>
  </si>
  <si>
    <t>Iron losses</t>
  </si>
  <si>
    <t>G15</t>
  </si>
  <si>
    <t>Efficiency</t>
  </si>
  <si>
    <t>P_out</t>
  </si>
  <si>
    <t xml:space="preserve">Objective </t>
  </si>
  <si>
    <t>k_torque</t>
  </si>
  <si>
    <t>Nm/A</t>
  </si>
  <si>
    <t>Torque constant</t>
  </si>
  <si>
    <t>Line voltage (Vline)</t>
  </si>
  <si>
    <t>L26</t>
  </si>
  <si>
    <t>L57</t>
  </si>
  <si>
    <t>L38</t>
  </si>
  <si>
    <t>L88</t>
  </si>
  <si>
    <t>L91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</si>
</sst>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E+00"/>
    <numFmt numFmtId="167" formatCode="0.0"/>
  </numFmts>
  <fonts count="16" x14ac:knownFonts="1">
    <font>
      <sz val="11"/>
      <color theme="1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</font>
    <font>
      <sz val="12"/>
      <color theme="5" tint="-0.24997711111789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name val="Calibri"/>
      <family val="2"/>
      <scheme val="minor"/>
    </font>
    <font>
      <b/>
      <i/>
      <sz val="16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theme="5" tint="-0.249977111117893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8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0099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6600CC"/>
        <bgColor indexed="64"/>
      </patternFill>
    </fill>
    <fill>
      <patternFill patternType="solid">
        <fgColor theme="8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96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1" fillId="3" borderId="0" xfId="0" applyFont="1" applyFill="1"/>
    <xf numFmtId="0" fontId="0" fillId="5" borderId="0" xfId="0" applyFill="1"/>
    <xf numFmtId="0" fontId="2" fillId="0" borderId="0" xfId="0" applyFont="1"/>
    <xf numFmtId="0" fontId="0" fillId="7" borderId="0" xfId="0" applyFill="1"/>
    <xf numFmtId="0" fontId="2" fillId="2" borderId="0" xfId="0" applyFont="1" applyFill="1"/>
    <xf numFmtId="0" fontId="2" fillId="3" borderId="0" xfId="0" applyFont="1" applyFill="1"/>
    <xf numFmtId="0" fontId="4" fillId="3" borderId="0" xfId="0" applyFont="1" applyFill="1"/>
    <xf numFmtId="2" fontId="2" fillId="4" borderId="0" xfId="0" applyNumberFormat="1" applyFont="1" applyFill="1"/>
    <xf numFmtId="0" fontId="2" fillId="4" borderId="0" xfId="0" applyFont="1" applyFill="1"/>
    <xf numFmtId="0" fontId="2" fillId="4" borderId="0" xfId="0" applyFont="1" applyFill="1" applyAlignment="1">
      <alignment horizontal="right"/>
    </xf>
    <xf numFmtId="9" fontId="2" fillId="4" borderId="0" xfId="0" applyNumberFormat="1" applyFont="1" applyFill="1"/>
    <xf numFmtId="11" fontId="2" fillId="4" borderId="0" xfId="0" applyNumberFormat="1" applyFont="1" applyFill="1"/>
    <xf numFmtId="0" fontId="2" fillId="5" borderId="0" xfId="0" applyFont="1" applyFill="1"/>
    <xf numFmtId="11" fontId="2" fillId="5" borderId="0" xfId="0" applyNumberFormat="1" applyFont="1" applyFill="1"/>
    <xf numFmtId="0" fontId="2" fillId="7" borderId="0" xfId="0" applyFont="1" applyFill="1"/>
    <xf numFmtId="0" fontId="6" fillId="0" borderId="0" xfId="1" applyFont="1"/>
    <xf numFmtId="0" fontId="0" fillId="11" borderId="0" xfId="0" applyFill="1"/>
    <xf numFmtId="165" fontId="2" fillId="4" borderId="0" xfId="0" applyNumberFormat="1" applyFont="1" applyFill="1"/>
    <xf numFmtId="165" fontId="2" fillId="0" borderId="0" xfId="0" applyNumberFormat="1" applyFont="1"/>
    <xf numFmtId="0" fontId="2" fillId="0" borderId="0" xfId="0" applyFont="1" applyAlignment="1">
      <alignment horizontal="right"/>
    </xf>
    <xf numFmtId="0" fontId="2" fillId="9" borderId="0" xfId="0" applyFont="1" applyFill="1" applyAlignment="1">
      <alignment horizontal="right"/>
    </xf>
    <xf numFmtId="0" fontId="0" fillId="9" borderId="0" xfId="0" applyFill="1" applyAlignment="1">
      <alignment horizontal="right"/>
    </xf>
    <xf numFmtId="9" fontId="2" fillId="9" borderId="0" xfId="0" applyNumberFormat="1" applyFont="1" applyFill="1" applyAlignment="1">
      <alignment horizontal="right"/>
    </xf>
    <xf numFmtId="2" fontId="2" fillId="9" borderId="0" xfId="0" applyNumberFormat="1" applyFont="1" applyFill="1" applyAlignment="1">
      <alignment horizontal="right"/>
    </xf>
    <xf numFmtId="0" fontId="7" fillId="2" borderId="1" xfId="0" applyFont="1" applyFill="1" applyBorder="1" applyAlignment="1">
      <alignment horizontal="left" indent="31"/>
    </xf>
    <xf numFmtId="0" fontId="8" fillId="2" borderId="1" xfId="0" applyFont="1" applyFill="1" applyBorder="1" applyAlignment="1">
      <alignment horizontal="right"/>
    </xf>
    <xf numFmtId="0" fontId="8" fillId="2" borderId="1" xfId="0" applyFont="1" applyFill="1" applyBorder="1"/>
    <xf numFmtId="0" fontId="7" fillId="2" borderId="1" xfId="0" applyFont="1" applyFill="1" applyBorder="1" applyAlignment="1">
      <alignment horizontal="left" indent="30"/>
    </xf>
    <xf numFmtId="0" fontId="7" fillId="3" borderId="1" xfId="0" applyFont="1" applyFill="1" applyBorder="1" applyAlignment="1">
      <alignment horizontal="left" indent="18"/>
    </xf>
    <xf numFmtId="0" fontId="9" fillId="3" borderId="1" xfId="0" applyFont="1" applyFill="1" applyBorder="1"/>
    <xf numFmtId="0" fontId="7" fillId="3" borderId="1" xfId="0" applyFont="1" applyFill="1" applyBorder="1" applyAlignment="1">
      <alignment horizontal="left" indent="22"/>
    </xf>
    <xf numFmtId="0" fontId="10" fillId="3" borderId="1" xfId="0" applyFont="1" applyFill="1" applyBorder="1"/>
    <xf numFmtId="0" fontId="2" fillId="8" borderId="0" xfId="0" applyFont="1" applyFill="1"/>
    <xf numFmtId="0" fontId="0" fillId="8" borderId="0" xfId="0" applyFill="1"/>
    <xf numFmtId="0" fontId="7" fillId="8" borderId="2" xfId="0" applyFont="1" applyFill="1" applyBorder="1" applyAlignment="1">
      <alignment horizontal="center"/>
    </xf>
    <xf numFmtId="0" fontId="9" fillId="8" borderId="3" xfId="0" applyFont="1" applyFill="1" applyBorder="1" applyAlignment="1">
      <alignment horizontal="center"/>
    </xf>
    <xf numFmtId="0" fontId="7" fillId="6" borderId="2" xfId="0" applyFont="1" applyFill="1" applyBorder="1"/>
    <xf numFmtId="0" fontId="9" fillId="6" borderId="3" xfId="0" applyFont="1" applyFill="1" applyBorder="1"/>
    <xf numFmtId="0" fontId="9" fillId="7" borderId="3" xfId="0" applyFont="1" applyFill="1" applyBorder="1"/>
    <xf numFmtId="0" fontId="7" fillId="6" borderId="3" xfId="0" applyFont="1" applyFill="1" applyBorder="1"/>
    <xf numFmtId="164" fontId="2" fillId="0" borderId="0" xfId="0" applyNumberFormat="1" applyFont="1"/>
    <xf numFmtId="0" fontId="2" fillId="11" borderId="0" xfId="0" applyFont="1" applyFill="1"/>
    <xf numFmtId="0" fontId="8" fillId="10" borderId="3" xfId="0" applyFont="1" applyFill="1" applyBorder="1"/>
    <xf numFmtId="0" fontId="7" fillId="8" borderId="3" xfId="0" applyFont="1" applyFill="1" applyBorder="1" applyAlignment="1">
      <alignment horizontal="left"/>
    </xf>
    <xf numFmtId="0" fontId="7" fillId="3" borderId="1" xfId="0" applyFont="1" applyFill="1" applyBorder="1" applyAlignment="1">
      <alignment horizontal="left"/>
    </xf>
    <xf numFmtId="0" fontId="11" fillId="2" borderId="1" xfId="0" applyFont="1" applyFill="1" applyBorder="1" applyAlignment="1">
      <alignment horizontal="center"/>
    </xf>
    <xf numFmtId="0" fontId="11" fillId="2" borderId="1" xfId="0" applyFont="1" applyFill="1" applyBorder="1" applyAlignment="1">
      <alignment horizontal="right"/>
    </xf>
    <xf numFmtId="0" fontId="12" fillId="2" borderId="1" xfId="0" applyFont="1" applyFill="1" applyBorder="1" applyAlignment="1">
      <alignment horizontal="center"/>
    </xf>
    <xf numFmtId="0" fontId="12" fillId="2" borderId="1" xfId="0" applyFont="1" applyFill="1" applyBorder="1"/>
    <xf numFmtId="0" fontId="11" fillId="2" borderId="1" xfId="0" applyFont="1" applyFill="1" applyBorder="1"/>
    <xf numFmtId="0" fontId="11" fillId="3" borderId="1" xfId="0" applyFont="1" applyFill="1" applyBorder="1" applyAlignment="1">
      <alignment horizontal="center"/>
    </xf>
    <xf numFmtId="0" fontId="12" fillId="3" borderId="1" xfId="0" applyFont="1" applyFill="1" applyBorder="1" applyAlignment="1">
      <alignment horizontal="center"/>
    </xf>
    <xf numFmtId="0" fontId="11" fillId="6" borderId="1" xfId="0" applyFont="1" applyFill="1" applyBorder="1" applyAlignment="1">
      <alignment horizontal="center"/>
    </xf>
    <xf numFmtId="0" fontId="13" fillId="7" borderId="1" xfId="0" applyFont="1" applyFill="1" applyBorder="1" applyAlignment="1">
      <alignment horizontal="center"/>
    </xf>
    <xf numFmtId="0" fontId="13" fillId="6" borderId="1" xfId="0" applyFont="1" applyFill="1" applyBorder="1" applyAlignment="1">
      <alignment horizontal="center"/>
    </xf>
    <xf numFmtId="0" fontId="13" fillId="8" borderId="1" xfId="0" applyFont="1" applyFill="1" applyBorder="1" applyAlignment="1">
      <alignment horizontal="center"/>
    </xf>
    <xf numFmtId="0" fontId="11" fillId="8" borderId="1" xfId="0" applyFont="1" applyFill="1" applyBorder="1" applyAlignment="1">
      <alignment horizontal="center"/>
    </xf>
    <xf numFmtId="0" fontId="11" fillId="10" borderId="1" xfId="0" applyFont="1" applyFill="1" applyBorder="1" applyAlignment="1">
      <alignment horizontal="left"/>
    </xf>
    <xf numFmtId="0" fontId="11" fillId="10" borderId="1" xfId="0" applyFont="1" applyFill="1" applyBorder="1" applyAlignment="1">
      <alignment horizontal="center"/>
    </xf>
    <xf numFmtId="0" fontId="13" fillId="10" borderId="1" xfId="0" applyFont="1" applyFill="1" applyBorder="1" applyAlignment="1">
      <alignment horizontal="center"/>
    </xf>
    <xf numFmtId="164" fontId="11" fillId="10" borderId="1" xfId="0" applyNumberFormat="1" applyFont="1" applyFill="1" applyBorder="1" applyAlignment="1">
      <alignment horizontal="center"/>
    </xf>
    <xf numFmtId="0" fontId="7" fillId="10" borderId="2" xfId="0" applyFont="1" applyFill="1" applyBorder="1" applyAlignment="1">
      <alignment horizontal="left"/>
    </xf>
    <xf numFmtId="0" fontId="11" fillId="12" borderId="1" xfId="0" applyFont="1" applyFill="1" applyBorder="1" applyAlignment="1">
      <alignment horizontal="center"/>
    </xf>
    <xf numFmtId="0" fontId="7" fillId="12" borderId="2" xfId="0" applyFont="1" applyFill="1" applyBorder="1" applyAlignment="1">
      <alignment horizontal="left"/>
    </xf>
    <xf numFmtId="0" fontId="7" fillId="12" borderId="3" xfId="0" applyFont="1" applyFill="1" applyBorder="1" applyAlignment="1">
      <alignment horizontal="left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10" fontId="2" fillId="4" borderId="0" xfId="0" applyNumberFormat="1" applyFont="1" applyFill="1"/>
    <xf numFmtId="2" fontId="2" fillId="0" borderId="0" xfId="0" applyNumberFormat="1" applyFont="1"/>
    <xf numFmtId="2" fontId="2" fillId="5" borderId="0" xfId="0" applyNumberFormat="1" applyFont="1" applyFill="1"/>
    <xf numFmtId="0" fontId="6" fillId="13" borderId="1" xfId="0" applyFont="1" applyFill="1" applyBorder="1" applyAlignment="1">
      <alignment horizontal="center"/>
    </xf>
    <xf numFmtId="0" fontId="14" fillId="13" borderId="1" xfId="0" applyFont="1" applyFill="1" applyBorder="1" applyAlignment="1">
      <alignment horizontal="center"/>
    </xf>
    <xf numFmtId="0" fontId="2" fillId="13" borderId="1" xfId="0" applyFont="1" applyFill="1" applyBorder="1"/>
    <xf numFmtId="0" fontId="0" fillId="13" borderId="1" xfId="0" applyFill="1" applyBorder="1"/>
    <xf numFmtId="166" fontId="2" fillId="4" borderId="0" xfId="0" applyNumberFormat="1" applyFont="1" applyFill="1"/>
    <xf numFmtId="165" fontId="0" fillId="4" borderId="0" xfId="0" applyNumberFormat="1" applyFill="1"/>
    <xf numFmtId="1" fontId="2" fillId="4" borderId="0" xfId="0" applyNumberFormat="1" applyFont="1" applyFill="1"/>
    <xf numFmtId="2" fontId="2" fillId="14" borderId="0" xfId="0" applyNumberFormat="1" applyFont="1" applyFill="1"/>
    <xf numFmtId="0" fontId="2" fillId="14" borderId="0" xfId="0" applyFont="1" applyFill="1"/>
    <xf numFmtId="165" fontId="2" fillId="14" borderId="0" xfId="0" applyNumberFormat="1" applyFont="1" applyFill="1"/>
    <xf numFmtId="11" fontId="2" fillId="14" borderId="0" xfId="0" applyNumberFormat="1" applyFont="1" applyFill="1"/>
    <xf numFmtId="0" fontId="2" fillId="15" borderId="0" xfId="0" applyFont="1" applyFill="1"/>
    <xf numFmtId="0" fontId="7" fillId="15" borderId="2" xfId="0" applyFont="1" applyFill="1" applyBorder="1"/>
    <xf numFmtId="0" fontId="7" fillId="15" borderId="3" xfId="0" applyFont="1" applyFill="1" applyBorder="1"/>
    <xf numFmtId="0" fontId="11" fillId="15" borderId="1" xfId="0" applyFont="1" applyFill="1" applyBorder="1" applyAlignment="1">
      <alignment horizontal="center"/>
    </xf>
    <xf numFmtId="1" fontId="2" fillId="0" borderId="0" xfId="0" applyNumberFormat="1" applyFont="1"/>
    <xf numFmtId="167" fontId="2" fillId="4" borderId="0" xfId="0" applyNumberFormat="1" applyFont="1" applyFill="1"/>
    <xf numFmtId="0" fontId="2" fillId="13" borderId="1" xfId="0" applyFont="1" applyFill="1" applyBorder="1" applyAlignment="1">
      <alignment horizontal="center"/>
    </xf>
    <xf numFmtId="0" fontId="2" fillId="14" borderId="0" xfId="0" applyFont="1" applyFill="1" applyAlignment="1">
      <alignment horizontal="right"/>
    </xf>
    <xf numFmtId="0" fontId="2" fillId="16" borderId="0" xfId="0" applyFont="1" applyFill="1"/>
    <xf numFmtId="2" fontId="2" fillId="16" borderId="0" xfId="0" applyNumberFormat="1" applyFont="1" applyFill="1"/>
    <xf numFmtId="0" fontId="5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CC99FF"/>
      <color rgb="FFEDE816"/>
      <color rgb="FFCC66FF"/>
      <color rgb="FFCC0099"/>
      <color rgb="FFFFCCFF"/>
      <color rgb="FFFF99FF"/>
      <color rgb="FF0066FF"/>
      <color rgb="FF99CCFF"/>
      <color rgb="FF9999FF"/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Slot-Pole Combination Analysis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v>Nm-4;Ns-12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Slot_Pole_Combination!$D$3:$H$3</c:f>
              <c:strCache>
                <c:ptCount val="5"/>
                <c:pt idx="0">
                  <c:v>Mass of Active parts</c:v>
                </c:pt>
                <c:pt idx="1">
                  <c:v>Copper losses</c:v>
                </c:pt>
                <c:pt idx="2">
                  <c:v>Supply frequency</c:v>
                </c:pt>
                <c:pt idx="3">
                  <c:v>Iron losses</c:v>
                </c:pt>
                <c:pt idx="4">
                  <c:v>Efficiency</c:v>
                </c:pt>
              </c:strCache>
            </c:strRef>
          </c:cat>
          <c:val>
            <c:numRef>
              <c:f>Slot_Pole_Combination!$D$4:$H$4</c:f>
              <c:numCache>
                <c:formatCode>0.00</c:formatCode>
                <c:ptCount val="5"/>
                <c:pt idx="0">
                  <c:v>0.83701086280289327</c:v>
                </c:pt>
                <c:pt idx="1">
                  <c:v>1</c:v>
                </c:pt>
                <c:pt idx="2" formatCode="General">
                  <c:v>0.4</c:v>
                </c:pt>
                <c:pt idx="3">
                  <c:v>0.2580642601033728</c:v>
                </c:pt>
                <c:pt idx="4">
                  <c:v>0.95532158744262485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40-4B0F-8A36-89E2FC21347B}"/>
            </c:ext>
          </c:extLst>
        </c:ser>
        <c:ser>
          <c:idx val="1"/>
          <c:order val="1"/>
          <c:tx>
            <c:v>Nm-4;Ns-24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Slot_Pole_Combination!$D$3:$H$3</c:f>
              <c:strCache>
                <c:ptCount val="5"/>
                <c:pt idx="0">
                  <c:v>Mass of Active parts</c:v>
                </c:pt>
                <c:pt idx="1">
                  <c:v>Copper losses</c:v>
                </c:pt>
                <c:pt idx="2">
                  <c:v>Supply frequency</c:v>
                </c:pt>
                <c:pt idx="3">
                  <c:v>Iron losses</c:v>
                </c:pt>
                <c:pt idx="4">
                  <c:v>Efficiency</c:v>
                </c:pt>
              </c:strCache>
            </c:strRef>
          </c:cat>
          <c:val>
            <c:numRef>
              <c:f>Slot_Pole_Combination!$D$5:$H$5</c:f>
              <c:numCache>
                <c:formatCode>0.00</c:formatCode>
                <c:ptCount val="5"/>
                <c:pt idx="0">
                  <c:v>0.92442925208077376</c:v>
                </c:pt>
                <c:pt idx="1">
                  <c:v>0.52503456224268286</c:v>
                </c:pt>
                <c:pt idx="2" formatCode="General">
                  <c:v>0.4</c:v>
                </c:pt>
                <c:pt idx="3">
                  <c:v>0.25801659044265168</c:v>
                </c:pt>
                <c:pt idx="4">
                  <c:v>0.98832414294428961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240-4B0F-8A36-89E2FC21347B}"/>
            </c:ext>
          </c:extLst>
        </c:ser>
        <c:ser>
          <c:idx val="2"/>
          <c:order val="2"/>
          <c:tx>
            <c:v>Nm-4;Ns-36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Slot_Pole_Combination!$D$3:$H$3</c:f>
              <c:strCache>
                <c:ptCount val="5"/>
                <c:pt idx="0">
                  <c:v>Mass of Active parts</c:v>
                </c:pt>
                <c:pt idx="1">
                  <c:v>Copper losses</c:v>
                </c:pt>
                <c:pt idx="2">
                  <c:v>Supply frequency</c:v>
                </c:pt>
                <c:pt idx="3">
                  <c:v>Iron losses</c:v>
                </c:pt>
                <c:pt idx="4">
                  <c:v>Efficiency</c:v>
                </c:pt>
              </c:strCache>
            </c:strRef>
          </c:cat>
          <c:val>
            <c:numRef>
              <c:f>Slot_Pole_Combination!$D$6:$H$6</c:f>
              <c:numCache>
                <c:formatCode>0.00</c:formatCode>
                <c:ptCount val="5"/>
                <c:pt idx="0">
                  <c:v>1</c:v>
                </c:pt>
                <c:pt idx="1">
                  <c:v>0.35700872536108608</c:v>
                </c:pt>
                <c:pt idx="2" formatCode="General">
                  <c:v>0.4</c:v>
                </c:pt>
                <c:pt idx="3">
                  <c:v>0.25798699419593313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240-4B0F-8A36-89E2FC21347B}"/>
            </c:ext>
          </c:extLst>
        </c:ser>
        <c:ser>
          <c:idx val="3"/>
          <c:order val="3"/>
          <c:tx>
            <c:v>Nm-6;Ns-18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Slot_Pole_Combination!$D$3:$H$3</c:f>
              <c:strCache>
                <c:ptCount val="5"/>
                <c:pt idx="0">
                  <c:v>Mass of Active parts</c:v>
                </c:pt>
                <c:pt idx="1">
                  <c:v>Copper losses</c:v>
                </c:pt>
                <c:pt idx="2">
                  <c:v>Supply frequency</c:v>
                </c:pt>
                <c:pt idx="3">
                  <c:v>Iron losses</c:v>
                </c:pt>
                <c:pt idx="4">
                  <c:v>Efficiency</c:v>
                </c:pt>
              </c:strCache>
            </c:strRef>
          </c:cat>
          <c:val>
            <c:numRef>
              <c:f>Slot_Pole_Combination!$D$7:$H$7</c:f>
              <c:numCache>
                <c:formatCode>0.00</c:formatCode>
                <c:ptCount val="5"/>
                <c:pt idx="0">
                  <c:v>0.72054117625338232</c:v>
                </c:pt>
                <c:pt idx="1">
                  <c:v>0.56987532519309225</c:v>
                </c:pt>
                <c:pt idx="2" formatCode="General">
                  <c:v>0.6</c:v>
                </c:pt>
                <c:pt idx="3">
                  <c:v>0.46287117233899322</c:v>
                </c:pt>
                <c:pt idx="4">
                  <c:v>0.97346946828470027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240-4B0F-8A36-89E2FC21347B}"/>
            </c:ext>
          </c:extLst>
        </c:ser>
        <c:ser>
          <c:idx val="4"/>
          <c:order val="4"/>
          <c:tx>
            <c:v>Nm-6;Ns-36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Slot_Pole_Combination!$D$3:$H$3</c:f>
              <c:strCache>
                <c:ptCount val="5"/>
                <c:pt idx="0">
                  <c:v>Mass of Active parts</c:v>
                </c:pt>
                <c:pt idx="1">
                  <c:v>Copper losses</c:v>
                </c:pt>
                <c:pt idx="2">
                  <c:v>Supply frequency</c:v>
                </c:pt>
                <c:pt idx="3">
                  <c:v>Iron losses</c:v>
                </c:pt>
                <c:pt idx="4">
                  <c:v>Efficiency</c:v>
                </c:pt>
              </c:strCache>
            </c:strRef>
          </c:cat>
          <c:val>
            <c:numRef>
              <c:f>Slot_Pole_Combination!$D$8:$H$8</c:f>
              <c:numCache>
                <c:formatCode>0.00</c:formatCode>
                <c:ptCount val="5"/>
                <c:pt idx="0">
                  <c:v>0.81767025906922219</c:v>
                </c:pt>
                <c:pt idx="1">
                  <c:v>0.29788267422500531</c:v>
                </c:pt>
                <c:pt idx="2" formatCode="General">
                  <c:v>0.6</c:v>
                </c:pt>
                <c:pt idx="3">
                  <c:v>0.46282030996107609</c:v>
                </c:pt>
                <c:pt idx="4">
                  <c:v>0.99236998863603409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240-4B0F-8A36-89E2FC21347B}"/>
            </c:ext>
          </c:extLst>
        </c:ser>
        <c:ser>
          <c:idx val="5"/>
          <c:order val="5"/>
          <c:tx>
            <c:v>Nm-6;Ns-54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Slot_Pole_Combination!$D$3:$H$3</c:f>
              <c:strCache>
                <c:ptCount val="5"/>
                <c:pt idx="0">
                  <c:v>Mass of Active parts</c:v>
                </c:pt>
                <c:pt idx="1">
                  <c:v>Copper losses</c:v>
                </c:pt>
                <c:pt idx="2">
                  <c:v>Supply frequency</c:v>
                </c:pt>
                <c:pt idx="3">
                  <c:v>Iron losses</c:v>
                </c:pt>
                <c:pt idx="4">
                  <c:v>Efficiency</c:v>
                </c:pt>
              </c:strCache>
            </c:strRef>
          </c:cat>
          <c:val>
            <c:numRef>
              <c:f>Slot_Pole_Combination!$D$9:$H$9</c:f>
              <c:numCache>
                <c:formatCode>0.00</c:formatCode>
                <c:ptCount val="5"/>
                <c:pt idx="0">
                  <c:v>0.91344275810755049</c:v>
                </c:pt>
                <c:pt idx="1">
                  <c:v>0.20226896961129195</c:v>
                </c:pt>
                <c:pt idx="2" formatCode="General">
                  <c:v>0.6</c:v>
                </c:pt>
                <c:pt idx="3">
                  <c:v>0.46275162336588205</c:v>
                </c:pt>
                <c:pt idx="4">
                  <c:v>0.99901700894648637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240-4B0F-8A36-89E2FC21347B}"/>
            </c:ext>
          </c:extLst>
        </c:ser>
        <c:ser>
          <c:idx val="6"/>
          <c:order val="6"/>
          <c:tx>
            <c:v>Nm-8;Ns-24</c:v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Ref>
              <c:f>Slot_Pole_Combination!$D$3:$H$3</c:f>
              <c:strCache>
                <c:ptCount val="5"/>
                <c:pt idx="0">
                  <c:v>Mass of Active parts</c:v>
                </c:pt>
                <c:pt idx="1">
                  <c:v>Copper losses</c:v>
                </c:pt>
                <c:pt idx="2">
                  <c:v>Supply frequency</c:v>
                </c:pt>
                <c:pt idx="3">
                  <c:v>Iron losses</c:v>
                </c:pt>
                <c:pt idx="4">
                  <c:v>Efficiency</c:v>
                </c:pt>
              </c:strCache>
            </c:strRef>
          </c:cat>
          <c:val>
            <c:numRef>
              <c:f>Slot_Pole_Combination!$D$10:$H$10</c:f>
              <c:numCache>
                <c:formatCode>0.00</c:formatCode>
                <c:ptCount val="5"/>
                <c:pt idx="0">
                  <c:v>0.63942090860176615</c:v>
                </c:pt>
                <c:pt idx="1">
                  <c:v>0.38250071826537946</c:v>
                </c:pt>
                <c:pt idx="2" formatCode="General">
                  <c:v>0.8</c:v>
                </c:pt>
                <c:pt idx="3">
                  <c:v>0.71069051755003587</c:v>
                </c:pt>
                <c:pt idx="4">
                  <c:v>0.97228663879171939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240-4B0F-8A36-89E2FC21347B}"/>
            </c:ext>
          </c:extLst>
        </c:ser>
        <c:ser>
          <c:idx val="7"/>
          <c:order val="7"/>
          <c:tx>
            <c:v>Nm-8;Ns-48</c:v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strRef>
              <c:f>Slot_Pole_Combination!$D$3:$H$3</c:f>
              <c:strCache>
                <c:ptCount val="5"/>
                <c:pt idx="0">
                  <c:v>Mass of Active parts</c:v>
                </c:pt>
                <c:pt idx="1">
                  <c:v>Copper losses</c:v>
                </c:pt>
                <c:pt idx="2">
                  <c:v>Supply frequency</c:v>
                </c:pt>
                <c:pt idx="3">
                  <c:v>Iron losses</c:v>
                </c:pt>
                <c:pt idx="4">
                  <c:v>Efficiency</c:v>
                </c:pt>
              </c:strCache>
            </c:strRef>
          </c:cat>
          <c:val>
            <c:numRef>
              <c:f>Slot_Pole_Combination!$D$11:$H$11</c:f>
              <c:numCache>
                <c:formatCode>0.00</c:formatCode>
                <c:ptCount val="5"/>
                <c:pt idx="0">
                  <c:v>0.75434873281744297</c:v>
                </c:pt>
                <c:pt idx="1">
                  <c:v>0.19935383698272846</c:v>
                </c:pt>
                <c:pt idx="2" formatCode="General">
                  <c:v>0.8</c:v>
                </c:pt>
                <c:pt idx="3">
                  <c:v>0.71059726093921327</c:v>
                </c:pt>
                <c:pt idx="4">
                  <c:v>0.98501672940822405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240-4B0F-8A36-89E2FC21347B}"/>
            </c:ext>
          </c:extLst>
        </c:ser>
        <c:ser>
          <c:idx val="8"/>
          <c:order val="8"/>
          <c:tx>
            <c:v>Nm-8;Ns-72</c:v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strRef>
              <c:f>Slot_Pole_Combination!$D$3:$H$3</c:f>
              <c:strCache>
                <c:ptCount val="5"/>
                <c:pt idx="0">
                  <c:v>Mass of Active parts</c:v>
                </c:pt>
                <c:pt idx="1">
                  <c:v>Copper losses</c:v>
                </c:pt>
                <c:pt idx="2">
                  <c:v>Supply frequency</c:v>
                </c:pt>
                <c:pt idx="3">
                  <c:v>Iron losses</c:v>
                </c:pt>
                <c:pt idx="4">
                  <c:v>Efficiency</c:v>
                </c:pt>
              </c:strCache>
            </c:strRef>
          </c:cat>
          <c:val>
            <c:numRef>
              <c:f>Slot_Pole_Combination!$D$12:$H$12</c:f>
              <c:numCache>
                <c:formatCode>0.00</c:formatCode>
                <c:ptCount val="5"/>
                <c:pt idx="0">
                  <c:v>0.85929404115638575</c:v>
                </c:pt>
                <c:pt idx="1">
                  <c:v>0.1352388842434577</c:v>
                </c:pt>
                <c:pt idx="2" formatCode="General">
                  <c:v>0.8</c:v>
                </c:pt>
                <c:pt idx="3">
                  <c:v>0.71050182298550668</c:v>
                </c:pt>
                <c:pt idx="4">
                  <c:v>0.98947680081267131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240-4B0F-8A36-89E2FC21347B}"/>
            </c:ext>
          </c:extLst>
        </c:ser>
        <c:ser>
          <c:idx val="9"/>
          <c:order val="9"/>
          <c:tx>
            <c:v>Nm-8;Ns-96</c:v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strRef>
              <c:f>Slot_Pole_Combination!$D$3:$H$3</c:f>
              <c:strCache>
                <c:ptCount val="5"/>
                <c:pt idx="0">
                  <c:v>Mass of Active parts</c:v>
                </c:pt>
                <c:pt idx="1">
                  <c:v>Copper losses</c:v>
                </c:pt>
                <c:pt idx="2">
                  <c:v>Supply frequency</c:v>
                </c:pt>
                <c:pt idx="3">
                  <c:v>Iron losses</c:v>
                </c:pt>
                <c:pt idx="4">
                  <c:v>Efficiency</c:v>
                </c:pt>
              </c:strCache>
            </c:strRef>
          </c:cat>
          <c:val>
            <c:numRef>
              <c:f>Slot_Pole_Combination!$D$13:$H$13</c:f>
              <c:numCache>
                <c:formatCode>0.00</c:formatCode>
                <c:ptCount val="5"/>
                <c:pt idx="0">
                  <c:v>0.95640695859168456</c:v>
                </c:pt>
                <c:pt idx="1">
                  <c:v>0.10256282800886515</c:v>
                </c:pt>
                <c:pt idx="2" formatCode="General">
                  <c:v>0.8</c:v>
                </c:pt>
                <c:pt idx="3">
                  <c:v>0.71044728984448025</c:v>
                </c:pt>
                <c:pt idx="4">
                  <c:v>0.99175020492113664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240-4B0F-8A36-89E2FC21347B}"/>
            </c:ext>
          </c:extLst>
        </c:ser>
        <c:ser>
          <c:idx val="10"/>
          <c:order val="10"/>
          <c:tx>
            <c:v>Nm-10;Ns-30</c:v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Slot_Pole_Combination!$D$3:$H$3</c:f>
              <c:strCache>
                <c:ptCount val="5"/>
                <c:pt idx="0">
                  <c:v>Mass of Active parts</c:v>
                </c:pt>
                <c:pt idx="1">
                  <c:v>Copper losses</c:v>
                </c:pt>
                <c:pt idx="2">
                  <c:v>Supply frequency</c:v>
                </c:pt>
                <c:pt idx="3">
                  <c:v>Iron losses</c:v>
                </c:pt>
                <c:pt idx="4">
                  <c:v>Efficiency</c:v>
                </c:pt>
              </c:strCache>
            </c:strRef>
          </c:cat>
          <c:val>
            <c:numRef>
              <c:f>Slot_Pole_Combination!$D$14:$H$14</c:f>
              <c:numCache>
                <c:formatCode>0.00</c:formatCode>
                <c:ptCount val="5"/>
                <c:pt idx="0">
                  <c:v>0.58986560232536811</c:v>
                </c:pt>
                <c:pt idx="1">
                  <c:v>0.28153741693013223</c:v>
                </c:pt>
                <c:pt idx="2" formatCode="General">
                  <c:v>1</c:v>
                </c:pt>
                <c:pt idx="3">
                  <c:v>1</c:v>
                </c:pt>
                <c:pt idx="4">
                  <c:v>0.96272249643051155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240-4B0F-8A36-89E2FC21347B}"/>
            </c:ext>
          </c:extLst>
        </c:ser>
        <c:ser>
          <c:idx val="11"/>
          <c:order val="11"/>
          <c:tx>
            <c:v>Nm-10;Ns-60</c:v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cat>
            <c:strRef>
              <c:f>Slot_Pole_Combination!$D$3:$H$3</c:f>
              <c:strCache>
                <c:ptCount val="5"/>
                <c:pt idx="0">
                  <c:v>Mass of Active parts</c:v>
                </c:pt>
                <c:pt idx="1">
                  <c:v>Copper losses</c:v>
                </c:pt>
                <c:pt idx="2">
                  <c:v>Supply frequency</c:v>
                </c:pt>
                <c:pt idx="3">
                  <c:v>Iron losses</c:v>
                </c:pt>
                <c:pt idx="4">
                  <c:v>Efficiency</c:v>
                </c:pt>
              </c:strCache>
            </c:strRef>
          </c:cat>
          <c:val>
            <c:numRef>
              <c:f>Slot_Pole_Combination!$D$15:$H$15</c:f>
              <c:numCache>
                <c:formatCode>0.00</c:formatCode>
                <c:ptCount val="5"/>
                <c:pt idx="0">
                  <c:v>0.72090886953912636</c:v>
                </c:pt>
                <c:pt idx="1">
                  <c:v>0.14642043836894741</c:v>
                </c:pt>
                <c:pt idx="2" formatCode="General">
                  <c:v>1</c:v>
                </c:pt>
                <c:pt idx="3">
                  <c:v>0.99989184608202375</c:v>
                </c:pt>
                <c:pt idx="4">
                  <c:v>0.9721164014504643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240-4B0F-8A36-89E2FC2134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02127"/>
        <c:axId val="47003567"/>
      </c:radarChart>
      <c:catAx>
        <c:axId val="470021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03567"/>
        <c:crosses val="autoZero"/>
        <c:auto val="1"/>
        <c:lblAlgn val="ctr"/>
        <c:lblOffset val="100"/>
        <c:noMultiLvlLbl val="0"/>
      </c:catAx>
      <c:valAx>
        <c:axId val="47003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021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Selection of best slot-pole combination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Nm-4;Ns-12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Slot_Pole_Combination!$I$4</c:f>
              <c:numCache>
                <c:formatCode>0.00</c:formatCode>
                <c:ptCount val="1"/>
                <c:pt idx="0">
                  <c:v>2.0950751229062661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A8-4EB3-A3E6-1F7E2C2119CB}"/>
            </c:ext>
          </c:extLst>
        </c:ser>
        <c:ser>
          <c:idx val="1"/>
          <c:order val="1"/>
          <c:tx>
            <c:v>Nm-4;Ns-24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Slot_Pole_Combination!$I$5</c:f>
              <c:numCache>
                <c:formatCode>0.00</c:formatCode>
                <c:ptCount val="1"/>
                <c:pt idx="0">
                  <c:v>1.7074804047661083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2A8-4EB3-A3E6-1F7E2C2119CB}"/>
            </c:ext>
          </c:extLst>
        </c:ser>
        <c:ser>
          <c:idx val="2"/>
          <c:order val="2"/>
          <c:tx>
            <c:v>Nm-4;Ns-36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Slot_Pole_Combination!$I$6</c:f>
              <c:numCache>
                <c:formatCode>0.00</c:formatCode>
                <c:ptCount val="1"/>
                <c:pt idx="0">
                  <c:v>1.6149957195570193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2A8-4EB3-A3E6-1F7E2C2119CB}"/>
            </c:ext>
          </c:extLst>
        </c:ser>
        <c:ser>
          <c:idx val="3"/>
          <c:order val="3"/>
          <c:tx>
            <c:v>Nm-6;Ns-18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Slot_Pole_Combination!$I$7</c:f>
              <c:numCache>
                <c:formatCode>0.00</c:formatCode>
                <c:ptCount val="1"/>
                <c:pt idx="0">
                  <c:v>1.7532876737854677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2A8-4EB3-A3E6-1F7E2C2119CB}"/>
            </c:ext>
          </c:extLst>
        </c:ser>
        <c:ser>
          <c:idx val="4"/>
          <c:order val="4"/>
          <c:tx>
            <c:v>Nm-6;Ns-36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Slot_Pole_Combination!$I$8</c:f>
              <c:numCache>
                <c:formatCode>0.00</c:formatCode>
                <c:ptCount val="1"/>
                <c:pt idx="0">
                  <c:v>1.5783732432553037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2A8-4EB3-A3E6-1F7E2C2119CB}"/>
            </c:ext>
          </c:extLst>
        </c:ser>
        <c:ser>
          <c:idx val="5"/>
          <c:order val="5"/>
          <c:tx>
            <c:v>Nm-6;Ns-54</c:v>
          </c:tx>
          <c:spPr>
            <a:solidFill>
              <a:schemeClr val="accent6"/>
            </a:solidFill>
            <a:ln>
              <a:noFill/>
            </a:ln>
            <a:effectLst>
              <a:glow>
                <a:srgbClr val="FF0000"/>
              </a:glow>
              <a:outerShdw sx="1000" sy="1000" algn="ctr" rotWithShape="0">
                <a:srgbClr val="000000"/>
              </a:outerShdw>
              <a:softEdge rad="0"/>
            </a:effectLst>
            <a:scene3d>
              <a:camera prst="orthographicFront"/>
              <a:lightRig rig="threePt" dir="t"/>
            </a:scene3d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glow>
                  <a:schemeClr val="accent6">
                    <a:lumMod val="75000"/>
                  </a:schemeClr>
                </a:glow>
                <a:outerShdw sx="1000" sy="1000" algn="ctr" rotWithShape="0">
                  <a:srgbClr val="000000"/>
                </a:outerShdw>
                <a:softEdge rad="0"/>
              </a:effectLst>
              <a:scene3d>
                <a:camera prst="orthographicFront"/>
                <a:lightRig rig="threePt" dir="t"/>
              </a:scene3d>
            </c:spPr>
            <c:extLst>
              <c:ext xmlns:c16="http://schemas.microsoft.com/office/drawing/2014/chart" uri="{C3380CC4-5D6E-409C-BE32-E72D297353CC}">
                <c16:uniqueId val="{0000000C-52A8-4EB3-A3E6-1F7E2C2119CB}"/>
              </c:ext>
            </c:extLst>
          </c:dPt>
          <c:val>
            <c:numRef>
              <c:f>Slot_Pole_Combination!$I$9</c:f>
              <c:numCache>
                <c:formatCode>0.00</c:formatCode>
                <c:ptCount val="1"/>
                <c:pt idx="0">
                  <c:v>1.5784633510847246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2A8-4EB3-A3E6-1F7E2C2119CB}"/>
            </c:ext>
          </c:extLst>
        </c:ser>
        <c:ser>
          <c:idx val="6"/>
          <c:order val="6"/>
          <c:tx>
            <c:v>Nm-8;Ns-24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Slot_Pole_Combination!$I$10</c:f>
              <c:numCache>
                <c:formatCode>0.00</c:formatCode>
                <c:ptCount val="1"/>
                <c:pt idx="0">
                  <c:v>1.7326121444171814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2A8-4EB3-A3E6-1F7E2C2119CB}"/>
            </c:ext>
          </c:extLst>
        </c:ser>
        <c:ser>
          <c:idx val="7"/>
          <c:order val="7"/>
          <c:tx>
            <c:v>Nm-8;Ns-48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Slot_Pole_Combination!$I$11</c:f>
              <c:numCache>
                <c:formatCode>0.00</c:formatCode>
                <c:ptCount val="1"/>
                <c:pt idx="0">
                  <c:v>1.6642998307393846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2A8-4EB3-A3E6-1F7E2C2119CB}"/>
            </c:ext>
          </c:extLst>
        </c:ser>
        <c:ser>
          <c:idx val="8"/>
          <c:order val="8"/>
          <c:tx>
            <c:v>Nm-8;Ns-72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Slot_Pole_Combination!$I$12</c:f>
              <c:numCache>
                <c:formatCode>0.00</c:formatCode>
                <c:ptCount val="1"/>
                <c:pt idx="0">
                  <c:v>1.7050347483853501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2A8-4EB3-A3E6-1F7E2C2119CB}"/>
            </c:ext>
          </c:extLst>
        </c:ser>
        <c:ser>
          <c:idx val="9"/>
          <c:order val="9"/>
          <c:tx>
            <c:v>Nm-8;Ns-96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Slot_Pole_Combination!$I$13</c:f>
              <c:numCache>
                <c:formatCode>0.00</c:formatCode>
                <c:ptCount val="1"/>
                <c:pt idx="0">
                  <c:v>1.7694170764450299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2A8-4EB3-A3E6-1F7E2C2119CB}"/>
            </c:ext>
          </c:extLst>
        </c:ser>
        <c:ser>
          <c:idx val="10"/>
          <c:order val="10"/>
          <c:tx>
            <c:v>Nm-10;Ns-30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Slot_Pole_Combination!$I$14</c:f>
              <c:numCache>
                <c:formatCode>0.00</c:formatCode>
                <c:ptCount val="1"/>
                <c:pt idx="0">
                  <c:v>1.8714030192555002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2A8-4EB3-A3E6-1F7E2C2119CB}"/>
            </c:ext>
          </c:extLst>
        </c:ser>
        <c:ser>
          <c:idx val="11"/>
          <c:order val="11"/>
          <c:tx>
            <c:v>Nm-10;Ns-60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Slot_Pole_Combination!$I$15</c:f>
              <c:numCache>
                <c:formatCode>0.00</c:formatCode>
                <c:ptCount val="1"/>
                <c:pt idx="0">
                  <c:v>1.8672211539900974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2A8-4EB3-A3E6-1F7E2C2119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31512815"/>
        <c:axId val="2031510895"/>
      </c:barChart>
      <c:catAx>
        <c:axId val="2031512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1510895"/>
        <c:crosses val="autoZero"/>
        <c:auto val="1"/>
        <c:lblAlgn val="ctr"/>
        <c:lblOffset val="100"/>
        <c:noMultiLvlLbl val="0"/>
      </c:catAx>
      <c:valAx>
        <c:axId val="20315108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1512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275493</xdr:colOff>
      <xdr:row>2</xdr:row>
      <xdr:rowOff>70340</xdr:rowOff>
    </xdr:from>
    <xdr:to>
      <xdr:col>8</xdr:col>
      <xdr:colOff>363416</xdr:colOff>
      <xdr:row>5</xdr:row>
      <xdr:rowOff>64477</xdr:rowOff>
    </xdr:to>
    <xdr:sp macro="[0]!Generate_DataPoints_for_SensitivityAnalysis" textlink="">
      <xdr:nvSpPr>
        <xdr:cNvPr id="3" name="Flowchart: Connector 2">
          <a:extLst>
            <a:ext uri="{FF2B5EF4-FFF2-40B4-BE49-F238E27FC236}">
              <a16:creationId xmlns:a16="http://schemas.microsoft.com/office/drawing/2014/main" id="{E7F8F7E2-081C-E9DD-AB4C-9FE91114CF6E}"/>
            </a:ext>
          </a:extLst>
        </xdr:cNvPr>
        <xdr:cNvSpPr>
          <a:spLocks noChangeAspect="1"/>
        </xdr:cNvSpPr>
      </xdr:nvSpPr>
      <xdr:spPr>
        <a:xfrm>
          <a:off x="11852031" y="568571"/>
          <a:ext cx="697523" cy="592014"/>
        </a:xfrm>
        <a:prstGeom prst="flowChartConnector">
          <a:avLst/>
        </a:prstGeom>
        <a:solidFill>
          <a:schemeClr val="bg2">
            <a:lumMod val="90000"/>
          </a:schemeClr>
        </a:solidFill>
        <a:ln>
          <a:noFill/>
        </a:ln>
        <a:effectLst>
          <a:glow rad="228600">
            <a:schemeClr val="accent3">
              <a:satMod val="175000"/>
              <a:alpha val="40000"/>
            </a:schemeClr>
          </a:glow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200" b="1" kern="1200"/>
            <a:t>Start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533399</xdr:colOff>
      <xdr:row>15</xdr:row>
      <xdr:rowOff>111391</xdr:rowOff>
    </xdr:from>
    <xdr:to>
      <xdr:col>3</xdr:col>
      <xdr:colOff>439615</xdr:colOff>
      <xdr:row>20</xdr:row>
      <xdr:rowOff>99646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E63BAD15-D001-6592-6190-C2A1A1BB95CA}"/>
            </a:ext>
          </a:extLst>
        </xdr:cNvPr>
        <xdr:cNvGrpSpPr/>
      </xdr:nvGrpSpPr>
      <xdr:grpSpPr>
        <a:xfrm>
          <a:off x="2766645" y="3229729"/>
          <a:ext cx="1594339" cy="984717"/>
          <a:chOff x="2766645" y="3048022"/>
          <a:chExt cx="1594339" cy="984717"/>
        </a:xfrm>
      </xdr:grpSpPr>
      <xdr:sp macro="[0]!Slot_Pole_Combination" textlink="">
        <xdr:nvSpPr>
          <xdr:cNvPr id="2" name="Flowchart: Terminator 1">
            <a:extLst>
              <a:ext uri="{FF2B5EF4-FFF2-40B4-BE49-F238E27FC236}">
                <a16:creationId xmlns:a16="http://schemas.microsoft.com/office/drawing/2014/main" id="{01C4B20E-1039-97FE-27CB-F25CF69664F9}"/>
              </a:ext>
            </a:extLst>
          </xdr:cNvPr>
          <xdr:cNvSpPr/>
        </xdr:nvSpPr>
        <xdr:spPr>
          <a:xfrm>
            <a:off x="2766645" y="3300047"/>
            <a:ext cx="1342294" cy="486506"/>
          </a:xfrm>
          <a:prstGeom prst="flowChartTerminator">
            <a:avLst/>
          </a:prstGeom>
          <a:solidFill>
            <a:srgbClr val="FFCCFF"/>
          </a:solidFill>
          <a:ln>
            <a:solidFill>
              <a:srgbClr val="FFCCFF"/>
            </a:solidFill>
          </a:ln>
          <a:effectLst>
            <a:glow rad="63500">
              <a:srgbClr val="FFCCFF">
                <a:alpha val="40000"/>
              </a:srgbClr>
            </a:glow>
            <a:innerShdw blurRad="63500" dist="50800" dir="8100000">
              <a:prstClr val="black">
                <a:alpha val="50000"/>
              </a:prstClr>
            </a:innerShdw>
          </a:effectLst>
          <a:scene3d>
            <a:camera prst="orthographicFront"/>
            <a:lightRig rig="threePt" dir="t"/>
          </a:scene3d>
          <a:sp3d>
            <a:bevelT prst="convex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IN" sz="1100" b="1" kern="1200">
                <a:solidFill>
                  <a:srgbClr val="CC0099"/>
                </a:solidFill>
              </a:rPr>
              <a:t>Generate Nm-Ns</a:t>
            </a:r>
          </a:p>
        </xdr:txBody>
      </xdr:sp>
      <xdr:sp macro="[0]!Normalize_data" textlink="">
        <xdr:nvSpPr>
          <xdr:cNvPr id="3" name="Block Arc 2">
            <a:extLst>
              <a:ext uri="{FF2B5EF4-FFF2-40B4-BE49-F238E27FC236}">
                <a16:creationId xmlns:a16="http://schemas.microsoft.com/office/drawing/2014/main" id="{8BAAE643-B698-51FD-D6C5-F9E8905872D0}"/>
              </a:ext>
            </a:extLst>
          </xdr:cNvPr>
          <xdr:cNvSpPr/>
        </xdr:nvSpPr>
        <xdr:spPr>
          <a:xfrm rot="5400000">
            <a:off x="3446593" y="3118348"/>
            <a:ext cx="984717" cy="844065"/>
          </a:xfrm>
          <a:prstGeom prst="blockArc">
            <a:avLst/>
          </a:prstGeom>
          <a:solidFill>
            <a:srgbClr val="FFCCFF"/>
          </a:solidFill>
          <a:ln>
            <a:solidFill>
              <a:srgbClr val="FFCCFF"/>
            </a:solidFill>
          </a:ln>
          <a:effectLst>
            <a:glow rad="63500">
              <a:srgbClr val="FFCCFF">
                <a:alpha val="40000"/>
              </a:srgbClr>
            </a:glow>
            <a:innerShdw blurRad="63500" dist="50800" dir="8100000">
              <a:prstClr val="black">
                <a:alpha val="50000"/>
              </a:prstClr>
            </a:innerShdw>
          </a:effectLst>
          <a:scene3d>
            <a:camera prst="orthographicFront"/>
            <a:lightRig rig="threePt" dir="t"/>
          </a:scene3d>
          <a:sp3d>
            <a:bevelT prst="convex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 b="1" kern="1200">
              <a:solidFill>
                <a:srgbClr val="CC0099"/>
              </a:solidFill>
            </a:endParaRPr>
          </a:p>
        </xdr:txBody>
      </xdr:sp>
    </xdr:grpSp>
    <xdr:clientData/>
  </xdr:twoCellAnchor>
  <xdr:twoCellAnchor>
    <xdr:from>
      <xdr:col>9</xdr:col>
      <xdr:colOff>73270</xdr:colOff>
      <xdr:row>0</xdr:row>
      <xdr:rowOff>99645</xdr:rowOff>
    </xdr:from>
    <xdr:to>
      <xdr:col>18</xdr:col>
      <xdr:colOff>310662</xdr:colOff>
      <xdr:row>17</xdr:row>
      <xdr:rowOff>199291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87F6BF9-8FB2-736E-30A8-1D0FE66D4B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395652</xdr:colOff>
      <xdr:row>0</xdr:row>
      <xdr:rowOff>93785</xdr:rowOff>
    </xdr:from>
    <xdr:to>
      <xdr:col>26</xdr:col>
      <xdr:colOff>498229</xdr:colOff>
      <xdr:row>17</xdr:row>
      <xdr:rowOff>199291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55954CC6-CB7F-37E2-FE9A-68129037D3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158261</xdr:colOff>
      <xdr:row>2</xdr:row>
      <xdr:rowOff>111366</xdr:rowOff>
    </xdr:from>
    <xdr:ext cx="1529862" cy="1254372"/>
    <xdr:sp macro="[0]!Mirror_SenAnaly_SourceSheet" textlink="">
      <xdr:nvSpPr>
        <xdr:cNvPr id="2" name="Diamond 1">
          <a:extLst>
            <a:ext uri="{FF2B5EF4-FFF2-40B4-BE49-F238E27FC236}">
              <a16:creationId xmlns:a16="http://schemas.microsoft.com/office/drawing/2014/main" id="{16D4263F-7181-6A54-43E6-45C7EEDD29EE}"/>
            </a:ext>
          </a:extLst>
        </xdr:cNvPr>
        <xdr:cNvSpPr/>
      </xdr:nvSpPr>
      <xdr:spPr>
        <a:xfrm>
          <a:off x="43299184" y="609597"/>
          <a:ext cx="1529862" cy="1254372"/>
        </a:xfrm>
        <a:prstGeom prst="diamond">
          <a:avLst/>
        </a:prstGeom>
        <a:solidFill>
          <a:srgbClr val="CC99FF"/>
        </a:solidFill>
        <a:ln>
          <a:solidFill>
            <a:srgbClr val="CC66FF"/>
          </a:solidFill>
        </a:ln>
        <a:effectLst>
          <a:glow rad="228600">
            <a:srgbClr val="CC99FF">
              <a:alpha val="40000"/>
            </a:srgbClr>
          </a:glow>
          <a:innerShdw blurRad="63500" dist="50800" dir="10800000">
            <a:prstClr val="black">
              <a:alpha val="50000"/>
            </a:prstClr>
          </a:innerShdw>
        </a:effectLst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rtlCol="0" anchor="t">
          <a:noAutofit/>
          <a:sp3d/>
        </a:bodyPr>
        <a:lstStyle/>
        <a:p>
          <a:pPr algn="ctr"/>
          <a:r>
            <a:rPr lang="en-IN" sz="1600" b="1" i="1" kern="1200">
              <a:ln>
                <a:noFill/>
              </a:ln>
              <a:effectLst/>
              <a:latin typeface="+mn-lt"/>
            </a:rPr>
            <a:t>MIRROR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D7A544-FEA2-46AD-8CB1-246B03518A27}">
  <sheetPr codeName="Sheet1"/>
  <dimension ref="A1:L24"/>
  <sheetViews>
    <sheetView zoomScale="130" zoomScaleNormal="130" workbookViewId="0">
      <selection activeCell="D17" sqref="D17"/>
    </sheetView>
  </sheetViews>
  <sheetFormatPr defaultRowHeight="14.4" x14ac:dyDescent="0.3"/>
  <cols>
    <col min="1" max="1" width="28" customWidth="1"/>
    <col min="2" max="2" width="7.109375" style="25" bestFit="1" customWidth="1"/>
    <col min="3" max="3" width="6.109375" bestFit="1" customWidth="1"/>
    <col min="4" max="4" width="60.109375" bestFit="1" customWidth="1"/>
    <col min="5" max="5" width="2.44140625" style="1" customWidth="1"/>
    <col min="6" max="6" width="47.77734375" customWidth="1"/>
    <col min="7" max="7" width="7.109375" style="25" bestFit="1" customWidth="1"/>
    <col min="8" max="8" width="5.88671875" bestFit="1" customWidth="1"/>
    <col min="9" max="9" width="41.21875" bestFit="1" customWidth="1"/>
    <col min="10" max="10" width="3.109375" style="1" customWidth="1"/>
    <col min="11" max="11" width="9.21875" customWidth="1"/>
    <col min="12" max="12" width="9.33203125" customWidth="1"/>
  </cols>
  <sheetData>
    <row r="1" spans="1:12" s="30" customFormat="1" ht="21" x14ac:dyDescent="0.4">
      <c r="A1" s="28" t="s">
        <v>319</v>
      </c>
      <c r="B1" s="29"/>
      <c r="F1" s="31" t="s">
        <v>320</v>
      </c>
      <c r="G1" s="29"/>
    </row>
    <row r="2" spans="1:12" s="52" customFormat="1" ht="18" x14ac:dyDescent="0.35">
      <c r="A2" s="49" t="s">
        <v>0</v>
      </c>
      <c r="B2" s="50" t="s">
        <v>1</v>
      </c>
      <c r="C2" s="49" t="s">
        <v>2</v>
      </c>
      <c r="D2" s="49" t="s">
        <v>3</v>
      </c>
      <c r="E2" s="51"/>
      <c r="F2" s="49" t="s">
        <v>0</v>
      </c>
      <c r="G2" s="50" t="s">
        <v>1</v>
      </c>
      <c r="H2" s="49" t="s">
        <v>13</v>
      </c>
      <c r="I2" s="49" t="s">
        <v>3</v>
      </c>
      <c r="K2" s="53"/>
      <c r="L2" s="53"/>
    </row>
    <row r="3" spans="1:12" ht="15.6" x14ac:dyDescent="0.3">
      <c r="A3" s="6" t="s">
        <v>17</v>
      </c>
      <c r="B3" s="24">
        <v>110</v>
      </c>
      <c r="C3" s="6" t="s">
        <v>4</v>
      </c>
      <c r="D3" s="6" t="s">
        <v>5</v>
      </c>
      <c r="E3" s="8"/>
      <c r="F3" s="6" t="s">
        <v>243</v>
      </c>
      <c r="G3" s="27">
        <f>B4*0.104719755</f>
        <v>502.65482399999996</v>
      </c>
      <c r="H3" s="6" t="s">
        <v>14</v>
      </c>
      <c r="I3" s="6" t="s">
        <v>20</v>
      </c>
    </row>
    <row r="4" spans="1:12" ht="15.6" x14ac:dyDescent="0.3">
      <c r="A4" s="6" t="s">
        <v>19</v>
      </c>
      <c r="B4" s="24">
        <v>4800</v>
      </c>
      <c r="C4" s="6" t="s">
        <v>6</v>
      </c>
      <c r="D4" s="6" t="s">
        <v>24</v>
      </c>
      <c r="E4" s="8"/>
    </row>
    <row r="5" spans="1:12" ht="15.6" x14ac:dyDescent="0.3">
      <c r="A5" s="6" t="s">
        <v>7</v>
      </c>
      <c r="B5" s="24">
        <v>215</v>
      </c>
      <c r="C5" s="6" t="s">
        <v>8</v>
      </c>
      <c r="D5" s="6" t="s">
        <v>9</v>
      </c>
      <c r="E5" s="8"/>
      <c r="F5" s="6" t="s">
        <v>397</v>
      </c>
      <c r="G5" s="24">
        <f>(0.1*G3)+G3</f>
        <v>552.92030639999996</v>
      </c>
      <c r="H5" s="6" t="s">
        <v>14</v>
      </c>
      <c r="I5" s="6"/>
    </row>
    <row r="6" spans="1:12" ht="15.6" x14ac:dyDescent="0.3">
      <c r="E6" s="8"/>
      <c r="F6" s="6" t="s">
        <v>15</v>
      </c>
      <c r="G6" s="24">
        <f>(0.1*B5)+B5</f>
        <v>236.5</v>
      </c>
      <c r="H6" s="6" t="s">
        <v>8</v>
      </c>
      <c r="I6" s="6"/>
    </row>
    <row r="7" spans="1:12" ht="15.6" x14ac:dyDescent="0.3">
      <c r="A7" s="6" t="s">
        <v>15</v>
      </c>
      <c r="B7" s="26">
        <v>0.1</v>
      </c>
      <c r="C7" s="6"/>
      <c r="D7" s="6" t="s">
        <v>23</v>
      </c>
      <c r="E7" s="8"/>
      <c r="F7" s="6" t="s">
        <v>16</v>
      </c>
      <c r="G7" s="27">
        <f>(G6*G5)/1000</f>
        <v>130.76565246359999</v>
      </c>
      <c r="H7" s="6" t="s">
        <v>4</v>
      </c>
      <c r="I7" s="6"/>
    </row>
    <row r="8" spans="1:12" ht="15.6" x14ac:dyDescent="0.3">
      <c r="A8" s="6" t="s">
        <v>398</v>
      </c>
      <c r="B8" s="26">
        <v>0.1</v>
      </c>
      <c r="D8" s="6" t="s">
        <v>399</v>
      </c>
      <c r="E8" s="8"/>
    </row>
    <row r="9" spans="1:12" ht="15.6" x14ac:dyDescent="0.3">
      <c r="E9" s="8"/>
      <c r="F9" s="6" t="s">
        <v>21</v>
      </c>
      <c r="G9" s="27">
        <f>G10*(B10-B11)/SQRT(2)</f>
        <v>218.14527042317465</v>
      </c>
      <c r="H9" s="6" t="s">
        <v>10</v>
      </c>
      <c r="I9" s="6" t="s">
        <v>22</v>
      </c>
    </row>
    <row r="10" spans="1:12" ht="15.6" x14ac:dyDescent="0.3">
      <c r="A10" s="6" t="s">
        <v>11</v>
      </c>
      <c r="B10" s="24">
        <v>332.8</v>
      </c>
      <c r="C10" s="6" t="s">
        <v>10</v>
      </c>
      <c r="D10" s="6" t="s">
        <v>12</v>
      </c>
      <c r="E10" s="8"/>
      <c r="F10" s="6" t="s">
        <v>313</v>
      </c>
      <c r="G10" s="24">
        <v>0.98</v>
      </c>
      <c r="H10" s="6"/>
      <c r="I10" s="6" t="s">
        <v>314</v>
      </c>
    </row>
    <row r="11" spans="1:12" ht="15.6" x14ac:dyDescent="0.3">
      <c r="A11" s="6" t="s">
        <v>311</v>
      </c>
      <c r="B11" s="24">
        <v>18</v>
      </c>
      <c r="C11" s="6" t="s">
        <v>10</v>
      </c>
      <c r="D11" s="6" t="s">
        <v>312</v>
      </c>
      <c r="E11" s="8"/>
    </row>
    <row r="12" spans="1:12" ht="15.6" x14ac:dyDescent="0.3">
      <c r="A12" s="6"/>
      <c r="B12" s="24"/>
      <c r="C12" s="6"/>
      <c r="D12" s="6"/>
      <c r="E12" s="8"/>
      <c r="F12" s="6"/>
      <c r="G12" s="24"/>
      <c r="H12" s="6"/>
      <c r="I12" s="6"/>
    </row>
    <row r="13" spans="1:12" ht="15.6" x14ac:dyDescent="0.3">
      <c r="A13" s="95"/>
      <c r="B13" s="24"/>
      <c r="C13" s="6"/>
      <c r="D13" s="6"/>
      <c r="E13" s="8"/>
      <c r="F13" s="6"/>
      <c r="G13" s="24"/>
      <c r="H13" s="6"/>
      <c r="I13" s="6"/>
    </row>
    <row r="14" spans="1:12" ht="15.6" x14ac:dyDescent="0.3">
      <c r="B14" s="24"/>
      <c r="C14" s="6"/>
      <c r="D14" s="6"/>
      <c r="E14" s="8"/>
      <c r="F14" s="95"/>
      <c r="G14" s="24"/>
      <c r="H14" s="6"/>
      <c r="I14" s="6"/>
    </row>
    <row r="15" spans="1:12" ht="15.6" x14ac:dyDescent="0.3">
      <c r="A15" s="6"/>
      <c r="B15" s="24"/>
      <c r="C15" s="6"/>
      <c r="D15" s="6"/>
      <c r="E15" s="8"/>
      <c r="F15" s="6"/>
      <c r="G15" s="24"/>
      <c r="H15" s="6"/>
      <c r="I15" s="6"/>
    </row>
    <row r="16" spans="1:12" ht="15.6" x14ac:dyDescent="0.3">
      <c r="A16" s="6"/>
      <c r="B16" s="24"/>
      <c r="C16" s="6"/>
      <c r="D16" s="6"/>
      <c r="E16" s="8"/>
      <c r="F16" s="6"/>
      <c r="G16" s="24"/>
      <c r="H16" s="6"/>
      <c r="I16" s="6"/>
    </row>
    <row r="17" spans="1:9" ht="15.6" x14ac:dyDescent="0.3">
      <c r="A17" s="6"/>
      <c r="B17" s="24"/>
      <c r="C17" s="6"/>
      <c r="D17" s="6"/>
      <c r="E17" s="8"/>
      <c r="F17" s="6"/>
      <c r="G17" s="24"/>
      <c r="H17" s="6"/>
      <c r="I17" s="6"/>
    </row>
    <row r="18" spans="1:9" ht="15.6" x14ac:dyDescent="0.3">
      <c r="A18" s="6"/>
      <c r="B18" s="24"/>
      <c r="C18" s="6"/>
      <c r="D18" s="6"/>
      <c r="E18" s="8"/>
      <c r="F18" s="6"/>
      <c r="G18" s="24"/>
      <c r="H18" s="6"/>
      <c r="I18" s="6"/>
    </row>
    <row r="19" spans="1:9" ht="15.6" x14ac:dyDescent="0.3">
      <c r="A19" s="6"/>
      <c r="B19" s="24"/>
      <c r="C19" s="6"/>
      <c r="D19" s="6"/>
      <c r="E19" s="8"/>
      <c r="F19" s="6"/>
      <c r="G19" s="24"/>
      <c r="H19" s="6"/>
      <c r="I19" s="6"/>
    </row>
    <row r="20" spans="1:9" ht="15.6" x14ac:dyDescent="0.3">
      <c r="A20" s="6"/>
      <c r="B20" s="24"/>
      <c r="C20" s="6"/>
      <c r="D20" s="6"/>
      <c r="E20" s="8"/>
      <c r="F20" s="6"/>
      <c r="G20" s="24"/>
      <c r="H20" s="6"/>
      <c r="I20" s="6"/>
    </row>
    <row r="21" spans="1:9" ht="15.6" x14ac:dyDescent="0.3">
      <c r="A21" s="6"/>
      <c r="B21" s="24"/>
      <c r="C21" s="6"/>
      <c r="D21" s="6"/>
      <c r="E21" s="8"/>
      <c r="F21" s="6"/>
      <c r="G21" s="24"/>
      <c r="H21" s="6"/>
      <c r="I21" s="6"/>
    </row>
    <row r="22" spans="1:9" ht="15.6" x14ac:dyDescent="0.3">
      <c r="A22" s="6"/>
      <c r="B22" s="24"/>
      <c r="C22" s="6"/>
      <c r="D22" s="6"/>
      <c r="E22" s="8"/>
      <c r="F22" s="6"/>
      <c r="G22" s="24"/>
      <c r="H22" s="6"/>
      <c r="I22" s="6"/>
    </row>
    <row r="23" spans="1:9" ht="15.6" x14ac:dyDescent="0.3">
      <c r="A23" s="6"/>
      <c r="B23" s="24"/>
      <c r="C23" s="6"/>
      <c r="D23" s="6"/>
      <c r="E23" s="8"/>
      <c r="F23" s="6"/>
      <c r="G23" s="24"/>
      <c r="H23" s="6"/>
      <c r="I23" s="6"/>
    </row>
    <row r="24" spans="1:9" ht="15.6" x14ac:dyDescent="0.3">
      <c r="A24" s="6"/>
      <c r="B24" s="24"/>
      <c r="C24" s="6"/>
      <c r="D24" s="6"/>
      <c r="E24" s="8"/>
      <c r="F24" s="6"/>
      <c r="G24" s="24"/>
      <c r="H24" s="6"/>
      <c r="I24" s="6"/>
    </row>
  </sheetData>
  <sheetProtection algorithmName="SHA-512" hashValue="rMwJNOJR4zMOJoN6CV2BBMQ7eeqd5VXBNwbFJ29kPIf8ECVQyKW0Ojly8Q/KlU5A7jiyeQaEdQZnieZ6hEvccg==" saltValue="pJlzOHDMJNortHIFUb6ezQ==" spinCount="100000" sheet="1" objects="1" scenarios="1"/>
  <pageMargins left="0.7" right="0.7" top="0.75" bottom="0.75" header="0.3" footer="0.3"/>
  <pageSetup orientation="portrait" r:id="rId1"/>
  <headerFooter>
    <oddHeader>&amp;L&amp;"-,Bold"&amp;15Design &amp; Analysis of IPMSM using FEM&amp;R&amp;12-By Mohana Segaran B
[immohanasegaran30@gmail.com]</oddHeader>
    <oddFooter>&amp;L&amp;12This work is licensed under the Creative Commons Attribution 4.0 International License. To view a copy of this license, visit https://creativecommons.org/licenses/by/4.0/.    
Copyright © 2025 Mohana Segaran B.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BD438E-6C42-427F-BE0C-2D857CA876D0}">
  <sheetPr codeName="Sheet2"/>
  <dimension ref="A1:P107"/>
  <sheetViews>
    <sheetView zoomScale="130" zoomScaleNormal="130" workbookViewId="0">
      <selection activeCell="B7" sqref="B7"/>
    </sheetView>
  </sheetViews>
  <sheetFormatPr defaultRowHeight="14.4" x14ac:dyDescent="0.3"/>
  <cols>
    <col min="1" max="1" width="32.88671875" customWidth="1"/>
    <col min="2" max="2" width="8.33203125" style="3" bestFit="1" customWidth="1"/>
    <col min="3" max="3" width="7.88671875" bestFit="1" customWidth="1"/>
    <col min="4" max="4" width="55.44140625" bestFit="1" customWidth="1"/>
    <col min="5" max="5" width="2.33203125" style="2" customWidth="1"/>
    <col min="6" max="6" width="32.77734375" customWidth="1"/>
    <col min="7" max="7" width="12.6640625" style="3" bestFit="1" customWidth="1"/>
    <col min="8" max="8" width="7.88671875" bestFit="1" customWidth="1"/>
    <col min="9" max="9" width="65" bestFit="1" customWidth="1"/>
    <col min="10" max="10" width="2.44140625" style="4" customWidth="1"/>
    <col min="11" max="11" width="25.5546875" customWidth="1"/>
    <col min="12" max="12" width="13.88671875" style="3" bestFit="1" customWidth="1"/>
    <col min="13" max="13" width="12.109375" bestFit="1" customWidth="1"/>
    <col min="14" max="14" width="44.21875" bestFit="1" customWidth="1"/>
    <col min="15" max="15" width="2.88671875" style="2" customWidth="1"/>
  </cols>
  <sheetData>
    <row r="1" spans="1:16" s="33" customFormat="1" ht="21" x14ac:dyDescent="0.4">
      <c r="A1" s="32" t="s">
        <v>317</v>
      </c>
      <c r="F1" s="34" t="s">
        <v>318</v>
      </c>
      <c r="J1" s="35"/>
      <c r="K1" s="48" t="s">
        <v>335</v>
      </c>
    </row>
    <row r="2" spans="1:16" s="55" customFormat="1" ht="18" x14ac:dyDescent="0.35">
      <c r="A2" s="54" t="s">
        <v>0</v>
      </c>
      <c r="B2" s="54" t="s">
        <v>1</v>
      </c>
      <c r="C2" s="54" t="s">
        <v>13</v>
      </c>
      <c r="D2" s="54" t="s">
        <v>3</v>
      </c>
      <c r="F2" s="54" t="s">
        <v>0</v>
      </c>
      <c r="G2" s="54" t="s">
        <v>1</v>
      </c>
      <c r="H2" s="54" t="s">
        <v>13</v>
      </c>
      <c r="I2" s="54" t="s">
        <v>3</v>
      </c>
      <c r="K2" s="54" t="s">
        <v>0</v>
      </c>
      <c r="L2" s="54" t="s">
        <v>1</v>
      </c>
      <c r="M2" s="54" t="s">
        <v>13</v>
      </c>
      <c r="N2" s="54" t="s">
        <v>3</v>
      </c>
    </row>
    <row r="3" spans="1:16" ht="15.6" x14ac:dyDescent="0.3">
      <c r="A3" s="6" t="s">
        <v>18</v>
      </c>
      <c r="B3" s="11">
        <f>Rated_values!G7</f>
        <v>130.76565246359999</v>
      </c>
      <c r="C3" s="6" t="s">
        <v>4</v>
      </c>
      <c r="D3" s="6" t="s">
        <v>17</v>
      </c>
      <c r="E3" s="9"/>
      <c r="F3" s="6" t="s">
        <v>290</v>
      </c>
      <c r="G3" s="11">
        <f>B3/(B16*B17)</f>
        <v>152.94228358315789</v>
      </c>
      <c r="H3" s="6" t="s">
        <v>38</v>
      </c>
      <c r="I3" s="6" t="s">
        <v>30</v>
      </c>
      <c r="J3" s="10"/>
      <c r="K3" s="6" t="s">
        <v>120</v>
      </c>
      <c r="L3" s="12">
        <f>(L4*B9)/(3*B11)</f>
        <v>8</v>
      </c>
      <c r="M3" s="6"/>
      <c r="N3" s="6" t="s">
        <v>262</v>
      </c>
      <c r="O3" s="9"/>
      <c r="P3" s="6"/>
    </row>
    <row r="4" spans="1:16" ht="15.6" x14ac:dyDescent="0.3">
      <c r="A4" s="6" t="s">
        <v>19</v>
      </c>
      <c r="B4" s="12">
        <f>Rated_values!G5/ 0.104719755</f>
        <v>5280</v>
      </c>
      <c r="C4" s="6" t="s">
        <v>6</v>
      </c>
      <c r="D4" s="6" t="s">
        <v>19</v>
      </c>
      <c r="E4" s="9"/>
      <c r="F4" s="6" t="s">
        <v>291</v>
      </c>
      <c r="G4" s="11">
        <f>B3/B16</f>
        <v>137.6480552248421</v>
      </c>
      <c r="H4" s="6" t="s">
        <v>4</v>
      </c>
      <c r="I4" s="6" t="s">
        <v>39</v>
      </c>
      <c r="J4" s="10"/>
      <c r="K4" s="6" t="s">
        <v>121</v>
      </c>
      <c r="L4" s="12">
        <v>4</v>
      </c>
      <c r="M4" s="6"/>
      <c r="N4" s="6" t="s">
        <v>263</v>
      </c>
      <c r="O4" s="9"/>
      <c r="P4" s="6"/>
    </row>
    <row r="5" spans="1:16" ht="15.6" x14ac:dyDescent="0.3">
      <c r="A5" s="6" t="s">
        <v>477</v>
      </c>
      <c r="B5" s="11">
        <f>Rated_values!G9</f>
        <v>218.14527042317465</v>
      </c>
      <c r="C5" s="6" t="s">
        <v>10</v>
      </c>
      <c r="D5" s="6" t="s">
        <v>22</v>
      </c>
      <c r="E5" s="9"/>
      <c r="F5" s="6" t="s">
        <v>25</v>
      </c>
      <c r="G5" s="80">
        <f>B4/60</f>
        <v>88</v>
      </c>
      <c r="H5" s="6" t="s">
        <v>27</v>
      </c>
      <c r="I5" s="6" t="s">
        <v>75</v>
      </c>
      <c r="J5" s="10"/>
      <c r="K5" s="6"/>
      <c r="L5" s="12"/>
      <c r="M5" s="6"/>
      <c r="N5" s="6"/>
      <c r="O5" s="9"/>
      <c r="P5" s="6"/>
    </row>
    <row r="6" spans="1:16" ht="15.6" x14ac:dyDescent="0.3">
      <c r="A6" s="6" t="s">
        <v>35</v>
      </c>
      <c r="B6" s="13" t="s">
        <v>36</v>
      </c>
      <c r="C6" s="6"/>
      <c r="D6" s="6" t="s">
        <v>37</v>
      </c>
      <c r="E6" s="9"/>
      <c r="F6" s="6" t="s">
        <v>40</v>
      </c>
      <c r="G6" s="12">
        <f>Rated_values!G6</f>
        <v>236.5</v>
      </c>
      <c r="H6" s="6" t="s">
        <v>8</v>
      </c>
      <c r="I6" s="6" t="s">
        <v>26</v>
      </c>
      <c r="J6" s="10"/>
      <c r="K6" s="6" t="s">
        <v>190</v>
      </c>
      <c r="L6" s="11">
        <f>G16*1000/(4.44*B19*G15*L3)</f>
        <v>13.002349300667085</v>
      </c>
      <c r="M6" s="6" t="s">
        <v>86</v>
      </c>
      <c r="N6" s="6" t="s">
        <v>89</v>
      </c>
      <c r="O6" s="9"/>
      <c r="P6" s="6"/>
    </row>
    <row r="7" spans="1:16" ht="15.6" x14ac:dyDescent="0.3">
      <c r="A7" s="6"/>
      <c r="B7" s="12"/>
      <c r="C7" s="6"/>
      <c r="D7" s="6"/>
      <c r="E7" s="9"/>
      <c r="F7" s="6" t="s">
        <v>47</v>
      </c>
      <c r="G7" s="11">
        <f>G4*1000/(SQRT(3)*B5*B17)</f>
        <v>404.78195298902801</v>
      </c>
      <c r="H7" s="6" t="s">
        <v>41</v>
      </c>
      <c r="I7" s="6" t="s">
        <v>42</v>
      </c>
      <c r="J7" s="10"/>
      <c r="K7" s="6" t="s">
        <v>191</v>
      </c>
      <c r="L7" s="11">
        <f>L6*B8</f>
        <v>78.014095804002508</v>
      </c>
      <c r="M7" s="6" t="s">
        <v>86</v>
      </c>
      <c r="N7" s="6" t="s">
        <v>87</v>
      </c>
      <c r="O7" s="9"/>
      <c r="P7" s="6"/>
    </row>
    <row r="8" spans="1:16" ht="15.6" x14ac:dyDescent="0.3">
      <c r="A8" s="6" t="s">
        <v>8</v>
      </c>
      <c r="B8" s="12">
        <v>6</v>
      </c>
      <c r="C8" s="6"/>
      <c r="D8" s="6" t="s">
        <v>48</v>
      </c>
      <c r="E8" s="9"/>
      <c r="F8" s="6"/>
      <c r="G8" s="12"/>
      <c r="H8" s="6"/>
      <c r="I8" s="6"/>
      <c r="J8" s="10"/>
      <c r="K8" s="6" t="s">
        <v>192</v>
      </c>
      <c r="L8" s="11">
        <f>(L6/2)*SIN((PI()*8)/48)</f>
        <v>3.2505873251667707</v>
      </c>
      <c r="M8" s="6" t="s">
        <v>86</v>
      </c>
      <c r="N8" s="6" t="s">
        <v>193</v>
      </c>
      <c r="O8" s="9"/>
      <c r="P8" s="6"/>
    </row>
    <row r="9" spans="1:16" ht="15.6" x14ac:dyDescent="0.3">
      <c r="A9" s="6" t="s">
        <v>343</v>
      </c>
      <c r="B9" s="12">
        <v>54</v>
      </c>
      <c r="C9" s="6"/>
      <c r="D9" s="6" t="s">
        <v>49</v>
      </c>
      <c r="E9" s="9"/>
      <c r="F9" s="6" t="s">
        <v>43</v>
      </c>
      <c r="G9" s="11">
        <f>G7</f>
        <v>404.78195298902801</v>
      </c>
      <c r="H9" s="6" t="s">
        <v>41</v>
      </c>
      <c r="I9" s="6" t="s">
        <v>44</v>
      </c>
      <c r="J9" s="10"/>
      <c r="K9" s="6" t="s">
        <v>414</v>
      </c>
      <c r="L9" s="12"/>
      <c r="M9" s="6"/>
      <c r="N9" s="6"/>
      <c r="O9" s="9"/>
      <c r="P9" s="6"/>
    </row>
    <row r="10" spans="1:16" ht="15.6" x14ac:dyDescent="0.3">
      <c r="A10" s="6" t="s">
        <v>50</v>
      </c>
      <c r="B10" s="80">
        <f>B9/(3*B8)</f>
        <v>3</v>
      </c>
      <c r="C10" s="6"/>
      <c r="D10" s="6" t="s">
        <v>51</v>
      </c>
      <c r="E10" s="9"/>
      <c r="F10" s="6" t="s">
        <v>45</v>
      </c>
      <c r="G10" s="11">
        <f>B5/SQRT(3)</f>
        <v>125.94623060126359</v>
      </c>
      <c r="H10" s="6" t="s">
        <v>10</v>
      </c>
      <c r="I10" s="6" t="s">
        <v>46</v>
      </c>
      <c r="J10" s="10"/>
      <c r="K10" s="6" t="s">
        <v>80</v>
      </c>
      <c r="L10" s="12">
        <f>_xlfn.CEILING.MATH((G30*L6)/G33)</f>
        <v>250</v>
      </c>
      <c r="M10" s="6" t="s">
        <v>78</v>
      </c>
      <c r="N10" s="6" t="s">
        <v>194</v>
      </c>
      <c r="O10" s="9"/>
      <c r="P10" s="6"/>
    </row>
    <row r="11" spans="1:16" ht="15.6" x14ac:dyDescent="0.3">
      <c r="A11" s="6" t="s">
        <v>346</v>
      </c>
      <c r="B11" s="12">
        <f>B14/B12</f>
        <v>9</v>
      </c>
      <c r="C11" s="6"/>
      <c r="D11" s="6" t="s">
        <v>56</v>
      </c>
      <c r="E11" s="9"/>
      <c r="F11" s="6" t="s">
        <v>57</v>
      </c>
      <c r="G11" s="11">
        <f>G9/B11</f>
        <v>44.975772554336444</v>
      </c>
      <c r="H11" s="6" t="s">
        <v>41</v>
      </c>
      <c r="I11" s="6" t="s">
        <v>58</v>
      </c>
      <c r="J11" s="10"/>
      <c r="K11" s="6" t="s">
        <v>195</v>
      </c>
      <c r="L11" s="12">
        <f>_xlfn.CEILING.MATH(L10/B44)</f>
        <v>500</v>
      </c>
      <c r="M11" s="6"/>
      <c r="N11" s="6" t="s">
        <v>196</v>
      </c>
      <c r="O11" s="9"/>
      <c r="P11" s="6"/>
    </row>
    <row r="12" spans="1:16" ht="15.6" x14ac:dyDescent="0.3">
      <c r="A12" s="6" t="s">
        <v>407</v>
      </c>
      <c r="B12" s="12">
        <v>2</v>
      </c>
      <c r="C12" s="6"/>
      <c r="D12" s="6" t="s">
        <v>406</v>
      </c>
      <c r="E12" s="9"/>
      <c r="F12" s="6" t="s">
        <v>60</v>
      </c>
      <c r="G12" s="11">
        <f>(G10*B11)/(B9/3)</f>
        <v>62.973115300631804</v>
      </c>
      <c r="H12" s="6" t="s">
        <v>10</v>
      </c>
      <c r="I12" s="6" t="s">
        <v>59</v>
      </c>
      <c r="J12" s="10"/>
      <c r="K12" s="6"/>
      <c r="L12" s="12"/>
      <c r="M12" s="6"/>
      <c r="N12" s="6"/>
      <c r="O12" s="9"/>
      <c r="P12" s="6"/>
    </row>
    <row r="13" spans="1:16" ht="15.6" x14ac:dyDescent="0.3">
      <c r="A13" s="6" t="s">
        <v>55</v>
      </c>
      <c r="B13" s="12">
        <v>2</v>
      </c>
      <c r="C13" s="6"/>
      <c r="D13" s="6" t="s">
        <v>52</v>
      </c>
      <c r="E13" s="9"/>
      <c r="F13" s="6" t="s">
        <v>432</v>
      </c>
      <c r="G13" s="11">
        <f>SQRT(2)*G9</f>
        <v>572.44812772095202</v>
      </c>
      <c r="H13" s="6" t="s">
        <v>41</v>
      </c>
      <c r="I13" s="6" t="s">
        <v>433</v>
      </c>
      <c r="J13" s="10"/>
      <c r="K13" s="6" t="s">
        <v>201</v>
      </c>
      <c r="L13" s="12">
        <f>Standard_Wire_Gauge!F5</f>
        <v>11</v>
      </c>
      <c r="M13" s="6"/>
      <c r="N13" s="6" t="s">
        <v>292</v>
      </c>
      <c r="O13" s="9"/>
      <c r="P13" s="6"/>
    </row>
    <row r="14" spans="1:16" ht="15.6" x14ac:dyDescent="0.3">
      <c r="A14" s="6" t="s">
        <v>347</v>
      </c>
      <c r="B14" s="12">
        <f>G23/3</f>
        <v>18</v>
      </c>
      <c r="C14" s="6"/>
      <c r="D14" s="6" t="s">
        <v>54</v>
      </c>
      <c r="E14" s="9"/>
      <c r="J14" s="10"/>
      <c r="K14" s="6" t="s">
        <v>199</v>
      </c>
      <c r="L14" s="11">
        <f>Standard_Wire_Gauge!F7</f>
        <v>6.8182999999999998</v>
      </c>
      <c r="M14" s="6" t="s">
        <v>131</v>
      </c>
      <c r="N14" s="6" t="s">
        <v>293</v>
      </c>
      <c r="O14" s="9"/>
      <c r="P14" s="6"/>
    </row>
    <row r="15" spans="1:16" ht="15.6" x14ac:dyDescent="0.3">
      <c r="E15" s="9"/>
      <c r="F15" s="6" t="s">
        <v>400</v>
      </c>
      <c r="G15" s="12">
        <f>(B4*B8)/120</f>
        <v>264</v>
      </c>
      <c r="H15" s="6" t="s">
        <v>29</v>
      </c>
      <c r="I15" s="6" t="s">
        <v>28</v>
      </c>
      <c r="J15" s="10"/>
      <c r="K15" s="6" t="s">
        <v>200</v>
      </c>
      <c r="L15" s="11">
        <f>Standard_Wire_Gauge!F6</f>
        <v>2.9460000000000002</v>
      </c>
      <c r="M15" s="6" t="s">
        <v>78</v>
      </c>
      <c r="N15" s="6" t="s">
        <v>294</v>
      </c>
      <c r="O15" s="9"/>
      <c r="P15" s="6"/>
    </row>
    <row r="16" spans="1:16" ht="15.6" x14ac:dyDescent="0.3">
      <c r="A16" s="6" t="s">
        <v>31</v>
      </c>
      <c r="B16" s="14">
        <v>0.95</v>
      </c>
      <c r="C16" s="6"/>
      <c r="D16" s="6" t="s">
        <v>32</v>
      </c>
      <c r="E16" s="9"/>
      <c r="F16" s="6" t="s">
        <v>119</v>
      </c>
      <c r="G16" s="11">
        <f>B25*G10</f>
        <v>114.61106984714988</v>
      </c>
      <c r="H16" s="6" t="s">
        <v>10</v>
      </c>
      <c r="I16" s="6" t="s">
        <v>118</v>
      </c>
      <c r="J16" s="10"/>
      <c r="K16" s="6"/>
      <c r="L16" s="12"/>
      <c r="M16" s="6"/>
      <c r="N16" s="6"/>
      <c r="O16" s="9"/>
      <c r="P16" s="6"/>
    </row>
    <row r="17" spans="1:16" ht="15.6" x14ac:dyDescent="0.3">
      <c r="A17" s="6" t="s">
        <v>33</v>
      </c>
      <c r="B17" s="12">
        <v>0.9</v>
      </c>
      <c r="C17" s="6"/>
      <c r="D17" s="6" t="s">
        <v>34</v>
      </c>
      <c r="E17" s="9"/>
      <c r="F17" s="6" t="s">
        <v>419</v>
      </c>
      <c r="G17" s="11">
        <f>SQRT(3)*G16</f>
        <v>198.51219608508893</v>
      </c>
      <c r="H17" s="6" t="s">
        <v>10</v>
      </c>
      <c r="I17" s="6" t="s">
        <v>420</v>
      </c>
      <c r="J17" s="10"/>
      <c r="K17" s="6" t="s">
        <v>136</v>
      </c>
      <c r="L17" s="11">
        <f>Standard_Wire_Gauge!F7</f>
        <v>6.8182999999999998</v>
      </c>
      <c r="M17" s="6" t="s">
        <v>131</v>
      </c>
      <c r="N17" s="6" t="s">
        <v>259</v>
      </c>
      <c r="O17" s="9"/>
      <c r="P17" s="6"/>
    </row>
    <row r="18" spans="1:16" ht="15.6" x14ac:dyDescent="0.3">
      <c r="A18" s="6"/>
      <c r="B18" s="12"/>
      <c r="C18" s="6"/>
      <c r="D18" s="6"/>
      <c r="E18" s="9"/>
      <c r="F18" s="6" t="s">
        <v>122</v>
      </c>
      <c r="G18" s="11">
        <f>G16/(4.44*G15*G33*0.001*B19)</f>
        <v>5.8955538781958712</v>
      </c>
      <c r="H18" s="6"/>
      <c r="I18" s="6" t="s">
        <v>124</v>
      </c>
      <c r="J18" s="10"/>
      <c r="K18" s="6" t="s">
        <v>137</v>
      </c>
      <c r="L18" s="11">
        <f>L4*L17</f>
        <v>27.273199999999999</v>
      </c>
      <c r="M18" s="6" t="s">
        <v>131</v>
      </c>
      <c r="N18" s="6" t="s">
        <v>260</v>
      </c>
      <c r="O18" s="9"/>
      <c r="P18" s="6"/>
    </row>
    <row r="19" spans="1:16" ht="15.6" x14ac:dyDescent="0.3">
      <c r="A19" s="6" t="s">
        <v>61</v>
      </c>
      <c r="B19" s="12">
        <v>0.94</v>
      </c>
      <c r="C19" s="6"/>
      <c r="D19" s="6" t="s">
        <v>62</v>
      </c>
      <c r="E19" s="9"/>
      <c r="F19" s="6" t="s">
        <v>123</v>
      </c>
      <c r="G19" s="11">
        <f>(G18*3*B11)/B9</f>
        <v>2.9477769390979356</v>
      </c>
      <c r="H19" s="6"/>
      <c r="I19" s="6" t="s">
        <v>125</v>
      </c>
      <c r="J19" s="10"/>
      <c r="K19" s="6" t="s">
        <v>138</v>
      </c>
      <c r="L19" s="11">
        <f>L18/B26</f>
        <v>47.022758620689658</v>
      </c>
      <c r="M19" s="6" t="s">
        <v>131</v>
      </c>
      <c r="N19" s="6" t="s">
        <v>261</v>
      </c>
      <c r="O19" s="9"/>
      <c r="P19" s="6"/>
    </row>
    <row r="20" spans="1:16" ht="15.6" x14ac:dyDescent="0.3">
      <c r="A20" s="6" t="s">
        <v>306</v>
      </c>
      <c r="B20" s="12">
        <v>0.9</v>
      </c>
      <c r="C20" s="6" t="s">
        <v>64</v>
      </c>
      <c r="D20" s="6" t="s">
        <v>307</v>
      </c>
      <c r="E20" s="9"/>
      <c r="F20" s="6" t="s">
        <v>129</v>
      </c>
      <c r="G20" s="11">
        <f>G11/B40</f>
        <v>6.4251103649052066</v>
      </c>
      <c r="H20" s="6" t="s">
        <v>131</v>
      </c>
      <c r="I20" s="6" t="s">
        <v>130</v>
      </c>
      <c r="J20" s="10"/>
      <c r="O20" s="9"/>
      <c r="P20" s="6"/>
    </row>
    <row r="21" spans="1:16" ht="15.6" x14ac:dyDescent="0.3">
      <c r="A21" s="6" t="s">
        <v>63</v>
      </c>
      <c r="B21" s="11">
        <f>(2/PI())*B20</f>
        <v>0.57295779513082323</v>
      </c>
      <c r="C21" s="6" t="s">
        <v>64</v>
      </c>
      <c r="D21" s="6" t="s">
        <v>65</v>
      </c>
      <c r="E21" s="9"/>
      <c r="F21" s="6" t="s">
        <v>132</v>
      </c>
      <c r="G21" s="11">
        <f>G19*G20</f>
        <v>18.939792164826692</v>
      </c>
      <c r="H21" s="6" t="s">
        <v>131</v>
      </c>
      <c r="I21" s="6" t="s">
        <v>133</v>
      </c>
      <c r="J21" s="10"/>
      <c r="K21" s="6" t="s">
        <v>139</v>
      </c>
      <c r="L21" s="11" cm="1">
        <f t="array" ref="L21">calculate_hs2(G28,B33,B34,G37,B9,G41,L19)</f>
        <v>16.997883433995241</v>
      </c>
      <c r="M21" s="6" t="s">
        <v>78</v>
      </c>
      <c r="N21" s="6" t="s">
        <v>98</v>
      </c>
      <c r="O21" s="9"/>
      <c r="P21" s="6"/>
    </row>
    <row r="22" spans="1:16" ht="15.6" x14ac:dyDescent="0.3">
      <c r="A22" s="6" t="s">
        <v>66</v>
      </c>
      <c r="B22" s="12">
        <v>25</v>
      </c>
      <c r="C22" s="6" t="s">
        <v>67</v>
      </c>
      <c r="D22" s="6" t="s">
        <v>68</v>
      </c>
      <c r="E22" s="9"/>
      <c r="F22" s="6" t="s">
        <v>134</v>
      </c>
      <c r="G22" s="11">
        <f>G21/B26</f>
        <v>32.654814077287405</v>
      </c>
      <c r="H22" s="6" t="s">
        <v>131</v>
      </c>
      <c r="I22" s="6" t="s">
        <v>135</v>
      </c>
      <c r="J22" s="10"/>
      <c r="K22" s="6" t="s">
        <v>379</v>
      </c>
      <c r="L22" s="11">
        <f>L21-L23</f>
        <v>13.920914968442878</v>
      </c>
      <c r="M22" s="6" t="s">
        <v>78</v>
      </c>
      <c r="O22" s="9"/>
      <c r="P22" s="6"/>
    </row>
    <row r="23" spans="1:16" ht="15.6" x14ac:dyDescent="0.3">
      <c r="A23" s="6"/>
      <c r="B23" s="12"/>
      <c r="C23" s="6"/>
      <c r="D23" s="6"/>
      <c r="E23" s="9"/>
      <c r="F23" s="6" t="s">
        <v>403</v>
      </c>
      <c r="G23" s="3">
        <f>(B9/2)*B13</f>
        <v>54</v>
      </c>
      <c r="I23" s="6" t="s">
        <v>404</v>
      </c>
      <c r="J23" s="10"/>
      <c r="K23" s="6" t="s">
        <v>378</v>
      </c>
      <c r="L23" s="11">
        <f>(TAN(G45)*(G28/2+B33+B34+L21)-G37/(2*COS(G45)))/(SIN(G47)+TAN(G45)*(1+COS(G47)))</f>
        <v>3.0769684655523633</v>
      </c>
      <c r="M23" s="6" t="s">
        <v>78</v>
      </c>
      <c r="O23" s="9"/>
      <c r="P23" s="6"/>
    </row>
    <row r="24" spans="1:16" ht="15.6" x14ac:dyDescent="0.3">
      <c r="A24" s="6" t="s">
        <v>76</v>
      </c>
      <c r="B24" s="11">
        <v>3.7</v>
      </c>
      <c r="C24" s="6"/>
      <c r="D24" s="6" t="s">
        <v>92</v>
      </c>
      <c r="E24" s="9"/>
      <c r="F24" s="6" t="s">
        <v>405</v>
      </c>
      <c r="G24" s="12">
        <f>G23/(B8*3)</f>
        <v>3</v>
      </c>
      <c r="H24" s="6"/>
      <c r="I24" s="6" t="s">
        <v>53</v>
      </c>
      <c r="J24" s="10"/>
      <c r="K24" s="6" t="s">
        <v>140</v>
      </c>
      <c r="L24" s="11" cm="1">
        <f t="array" ref="L24">calculate_bs2(G41,L21,L19)</f>
        <v>6.522792072906455</v>
      </c>
      <c r="M24" s="6" t="s">
        <v>78</v>
      </c>
      <c r="N24" s="6" t="s">
        <v>141</v>
      </c>
      <c r="O24" s="9"/>
      <c r="P24" s="6"/>
    </row>
    <row r="25" spans="1:16" ht="15.6" x14ac:dyDescent="0.3">
      <c r="A25" s="6" t="s">
        <v>116</v>
      </c>
      <c r="B25" s="12">
        <v>0.91</v>
      </c>
      <c r="C25" s="6"/>
      <c r="D25" s="6" t="s">
        <v>117</v>
      </c>
      <c r="E25" s="9"/>
      <c r="J25" s="10"/>
      <c r="O25" s="9"/>
      <c r="P25" s="6"/>
    </row>
    <row r="26" spans="1:16" ht="15.6" x14ac:dyDescent="0.3">
      <c r="A26" s="6" t="s">
        <v>126</v>
      </c>
      <c r="B26" s="12">
        <v>0.57999999999999996</v>
      </c>
      <c r="C26" s="6"/>
      <c r="D26" s="6" t="s">
        <v>127</v>
      </c>
      <c r="E26" s="9"/>
      <c r="F26" s="6" t="s">
        <v>69</v>
      </c>
      <c r="G26" s="11">
        <f>1.111*PI()^2*B19*B21*B22</f>
        <v>147.64008923324837</v>
      </c>
      <c r="H26" s="6" t="s">
        <v>71</v>
      </c>
      <c r="I26" s="6" t="s">
        <v>70</v>
      </c>
      <c r="J26" s="10"/>
      <c r="K26" s="6" t="s">
        <v>309</v>
      </c>
      <c r="L26" s="11">
        <f>_xlfn.CEILING.MATH(G28+2*(B33+B34+L21+G38))</f>
        <v>253</v>
      </c>
      <c r="M26" s="6" t="s">
        <v>78</v>
      </c>
      <c r="N26" s="6" t="s">
        <v>218</v>
      </c>
      <c r="O26" s="9"/>
      <c r="P26" s="6"/>
    </row>
    <row r="27" spans="1:16" ht="15.6" x14ac:dyDescent="0.3">
      <c r="A27" s="6" t="s">
        <v>84</v>
      </c>
      <c r="B27" s="11">
        <f>(B24*PI())/B8</f>
        <v>1.9373154697137058</v>
      </c>
      <c r="C27" s="6"/>
      <c r="D27" s="6" t="s">
        <v>93</v>
      </c>
      <c r="E27" s="9"/>
      <c r="F27" s="6" t="s">
        <v>72</v>
      </c>
      <c r="G27" s="11">
        <f>B3*1000000000/(G26*G5)</f>
        <v>10064836.259360377</v>
      </c>
      <c r="H27" s="6" t="s">
        <v>73</v>
      </c>
      <c r="I27" s="6" t="s">
        <v>74</v>
      </c>
      <c r="J27" s="10"/>
      <c r="K27" s="6" t="s">
        <v>217</v>
      </c>
      <c r="L27" s="11">
        <f>_xlfn.CEILING.MATH(G28-2*(B29+G75+G65+G39))</f>
        <v>92</v>
      </c>
      <c r="M27" s="6" t="s">
        <v>78</v>
      </c>
      <c r="N27" s="6" t="s">
        <v>219</v>
      </c>
      <c r="O27" s="9"/>
      <c r="P27" s="6"/>
    </row>
    <row r="28" spans="1:16" ht="15.6" x14ac:dyDescent="0.3">
      <c r="A28" s="6"/>
      <c r="B28" s="12"/>
      <c r="C28" s="6"/>
      <c r="D28" s="6"/>
      <c r="E28" s="9"/>
      <c r="F28" s="6" t="s">
        <v>79</v>
      </c>
      <c r="G28" s="11">
        <f>_xlfn.CEILING.MATH((G27/B27)^(1/3))</f>
        <v>174</v>
      </c>
      <c r="H28" s="6" t="s">
        <v>78</v>
      </c>
      <c r="I28" s="6" t="s">
        <v>77</v>
      </c>
      <c r="J28" s="10"/>
      <c r="K28" s="6" t="s">
        <v>310</v>
      </c>
      <c r="L28" s="11">
        <f>L26/L10</f>
        <v>1.012</v>
      </c>
      <c r="M28" s="6"/>
      <c r="N28" s="6" t="s">
        <v>220</v>
      </c>
      <c r="O28" s="9"/>
      <c r="P28" s="6"/>
    </row>
    <row r="29" spans="1:16" ht="15.6" x14ac:dyDescent="0.3">
      <c r="A29" s="6" t="s">
        <v>90</v>
      </c>
      <c r="B29" s="12">
        <v>0.7</v>
      </c>
      <c r="C29" s="6" t="s">
        <v>78</v>
      </c>
      <c r="D29" s="6" t="s">
        <v>91</v>
      </c>
      <c r="E29" s="9"/>
      <c r="F29" s="6" t="s">
        <v>82</v>
      </c>
      <c r="G29" s="11">
        <f>(PI()*G28)/B8</f>
        <v>91.10618695410399</v>
      </c>
      <c r="H29" s="6" t="s">
        <v>78</v>
      </c>
      <c r="I29" s="6" t="s">
        <v>83</v>
      </c>
      <c r="J29" s="10"/>
      <c r="O29" s="9"/>
      <c r="P29" s="6"/>
    </row>
    <row r="30" spans="1:16" ht="15.6" x14ac:dyDescent="0.3">
      <c r="A30" s="6" t="s">
        <v>230</v>
      </c>
      <c r="B30" s="12">
        <f>(0.2)*L10</f>
        <v>50</v>
      </c>
      <c r="C30" s="6" t="s">
        <v>78</v>
      </c>
      <c r="D30" s="6" t="s">
        <v>231</v>
      </c>
      <c r="E30" s="9"/>
      <c r="F30" s="6" t="s">
        <v>80</v>
      </c>
      <c r="G30" s="11">
        <f>_xlfn.CEILING.MATH(G28*B27)</f>
        <v>338</v>
      </c>
      <c r="H30" s="6" t="s">
        <v>78</v>
      </c>
      <c r="I30" s="6" t="s">
        <v>81</v>
      </c>
      <c r="J30" s="10"/>
      <c r="K30" s="6" t="s">
        <v>223</v>
      </c>
      <c r="L30" s="12">
        <f>MAX(FLOOR(B9/B8-L31,1))</f>
        <v>8</v>
      </c>
      <c r="M30" s="6" t="s">
        <v>222</v>
      </c>
      <c r="N30" s="6" t="s">
        <v>221</v>
      </c>
      <c r="O30" s="9"/>
      <c r="P30" s="6"/>
    </row>
    <row r="31" spans="1:16" ht="15.6" x14ac:dyDescent="0.3">
      <c r="A31" s="6"/>
      <c r="B31" s="12"/>
      <c r="C31" s="6"/>
      <c r="D31" s="6"/>
      <c r="E31" s="9"/>
      <c r="J31" s="10"/>
      <c r="K31" s="6" t="s">
        <v>326</v>
      </c>
      <c r="L31" s="12">
        <f>1</f>
        <v>1</v>
      </c>
      <c r="M31" s="6" t="s">
        <v>222</v>
      </c>
      <c r="N31" s="6" t="s">
        <v>327</v>
      </c>
      <c r="O31" s="9"/>
      <c r="P31" s="6"/>
    </row>
    <row r="32" spans="1:16" ht="15.6" x14ac:dyDescent="0.3">
      <c r="A32" s="6" t="s">
        <v>94</v>
      </c>
      <c r="B32" s="12">
        <v>2</v>
      </c>
      <c r="C32" s="6" t="s">
        <v>78</v>
      </c>
      <c r="D32" s="6" t="s">
        <v>95</v>
      </c>
      <c r="E32" s="9"/>
      <c r="F32" s="6" t="s">
        <v>85</v>
      </c>
      <c r="G32" s="11">
        <f>B21*PI()*G28*G30*0.001</f>
        <v>105.8616</v>
      </c>
      <c r="H32" s="6" t="s">
        <v>86</v>
      </c>
      <c r="I32" s="6" t="s">
        <v>87</v>
      </c>
      <c r="J32" s="10"/>
      <c r="K32" s="6" t="s">
        <v>225</v>
      </c>
      <c r="L32" s="11">
        <f>(G28/2)+B33+B34+(L21/2)</f>
        <v>97.998941716997621</v>
      </c>
      <c r="M32" s="6" t="s">
        <v>78</v>
      </c>
      <c r="N32" s="6" t="s">
        <v>227</v>
      </c>
      <c r="O32" s="9"/>
      <c r="P32" s="6"/>
    </row>
    <row r="33" spans="1:16" ht="15.6" x14ac:dyDescent="0.3">
      <c r="A33" s="6" t="s">
        <v>96</v>
      </c>
      <c r="B33" s="12">
        <v>1.5</v>
      </c>
      <c r="C33" s="6" t="s">
        <v>78</v>
      </c>
      <c r="D33" s="6" t="s">
        <v>97</v>
      </c>
      <c r="E33" s="9"/>
      <c r="F33" s="6" t="s">
        <v>88</v>
      </c>
      <c r="G33" s="11">
        <f>G32/B8</f>
        <v>17.643599999999999</v>
      </c>
      <c r="H33" s="6" t="s">
        <v>86</v>
      </c>
      <c r="I33" s="6" t="s">
        <v>89</v>
      </c>
      <c r="J33" s="10"/>
      <c r="K33" s="6" t="s">
        <v>228</v>
      </c>
      <c r="L33" s="11">
        <f>L30*G43*L32</f>
        <v>91.221557143020462</v>
      </c>
      <c r="M33" s="6" t="s">
        <v>78</v>
      </c>
      <c r="N33" s="6" t="s">
        <v>229</v>
      </c>
      <c r="O33" s="9"/>
      <c r="P33" s="6"/>
    </row>
    <row r="34" spans="1:16" ht="15.6" x14ac:dyDescent="0.3">
      <c r="A34" s="6" t="s">
        <v>99</v>
      </c>
      <c r="B34" s="12">
        <v>1</v>
      </c>
      <c r="C34" s="6" t="s">
        <v>78</v>
      </c>
      <c r="D34" s="6" t="s">
        <v>98</v>
      </c>
      <c r="E34" s="9"/>
      <c r="F34" s="6" t="s">
        <v>108</v>
      </c>
      <c r="G34" s="11">
        <f>(G33/2)*SIN((PI()*B8)/B9)</f>
        <v>3.0172333003903842</v>
      </c>
      <c r="H34" s="6" t="s">
        <v>86</v>
      </c>
      <c r="I34" s="6" t="s">
        <v>109</v>
      </c>
      <c r="J34" s="10"/>
      <c r="K34" s="6" t="s">
        <v>232</v>
      </c>
      <c r="L34" s="11">
        <f>(2*L10)+(4*B30)+(2*L33)</f>
        <v>882.4431142860409</v>
      </c>
      <c r="M34" s="6" t="s">
        <v>78</v>
      </c>
      <c r="N34" s="6" t="s">
        <v>233</v>
      </c>
      <c r="O34" s="9"/>
      <c r="P34" s="6"/>
    </row>
    <row r="35" spans="1:16" ht="15.6" x14ac:dyDescent="0.3">
      <c r="E35" s="9"/>
      <c r="F35" s="6" t="s">
        <v>323</v>
      </c>
      <c r="G35" s="11">
        <f>G33/2</f>
        <v>8.8217999999999996</v>
      </c>
      <c r="H35" s="6" t="s">
        <v>86</v>
      </c>
      <c r="I35" s="6" t="s">
        <v>324</v>
      </c>
      <c r="J35" s="10"/>
      <c r="K35" s="6" t="s">
        <v>256</v>
      </c>
      <c r="L35" s="15">
        <f>L4*Material_Properties!D11*1000*(L34/L17)</f>
        <v>1.31035457730598E-2</v>
      </c>
      <c r="M35" s="6" t="s">
        <v>258</v>
      </c>
      <c r="N35" s="6" t="s">
        <v>257</v>
      </c>
      <c r="O35" s="9"/>
      <c r="P35" s="6"/>
    </row>
    <row r="36" spans="1:16" ht="15.6" x14ac:dyDescent="0.3">
      <c r="A36" s="6" t="s">
        <v>100</v>
      </c>
      <c r="B36" s="12">
        <v>1.6</v>
      </c>
      <c r="C36" s="6" t="s">
        <v>64</v>
      </c>
      <c r="D36" s="6" t="s">
        <v>101</v>
      </c>
      <c r="E36" s="9"/>
      <c r="J36" s="10"/>
      <c r="K36" s="6" t="s">
        <v>264</v>
      </c>
      <c r="L36" s="15">
        <f>L35*(B9/3)*1/B11^2</f>
        <v>2.9118990606799558E-3</v>
      </c>
      <c r="M36" s="6" t="s">
        <v>258</v>
      </c>
      <c r="N36" s="6" t="s">
        <v>421</v>
      </c>
      <c r="O36" s="9"/>
      <c r="P36" s="6"/>
    </row>
    <row r="37" spans="1:16" ht="15.6" x14ac:dyDescent="0.3">
      <c r="A37" s="6" t="s">
        <v>102</v>
      </c>
      <c r="B37" s="12">
        <v>1.4</v>
      </c>
      <c r="C37" s="6" t="s">
        <v>64</v>
      </c>
      <c r="D37" s="6" t="s">
        <v>105</v>
      </c>
      <c r="E37" s="9"/>
      <c r="F37" s="6" t="s">
        <v>110</v>
      </c>
      <c r="G37" s="11">
        <f>G34*1000/(B36*G30*B42)</f>
        <v>5.8728458821052323</v>
      </c>
      <c r="H37" s="6" t="s">
        <v>78</v>
      </c>
      <c r="I37" s="6" t="s">
        <v>111</v>
      </c>
      <c r="J37" s="10"/>
      <c r="K37" s="6" t="s">
        <v>422</v>
      </c>
      <c r="L37" s="15">
        <f>L36*B59</f>
        <v>3.7854687788839428E-3</v>
      </c>
      <c r="M37" s="6" t="s">
        <v>258</v>
      </c>
      <c r="N37" s="6" t="s">
        <v>423</v>
      </c>
      <c r="O37" s="9"/>
      <c r="P37" s="6"/>
    </row>
    <row r="38" spans="1:16" ht="15.6" x14ac:dyDescent="0.3">
      <c r="A38" s="6" t="s">
        <v>325</v>
      </c>
      <c r="B38" s="12">
        <v>0.65</v>
      </c>
      <c r="C38" s="6" t="s">
        <v>64</v>
      </c>
      <c r="D38" s="6" t="s">
        <v>182</v>
      </c>
      <c r="E38" s="9"/>
      <c r="F38" s="6" t="s">
        <v>115</v>
      </c>
      <c r="G38" s="11">
        <f>(G33*1000)/(2*B37*G30*B42)</f>
        <v>19.624060150375939</v>
      </c>
      <c r="H38" s="6" t="s">
        <v>78</v>
      </c>
      <c r="I38" s="6" t="s">
        <v>112</v>
      </c>
      <c r="J38" s="10"/>
      <c r="K38" s="6" t="s">
        <v>265</v>
      </c>
      <c r="L38" s="11">
        <f>3*L37*G9^2</f>
        <v>1860.7293426337226</v>
      </c>
      <c r="M38" s="6" t="s">
        <v>269</v>
      </c>
      <c r="N38" s="6" t="s">
        <v>268</v>
      </c>
      <c r="O38" s="9"/>
      <c r="P38" s="6"/>
    </row>
    <row r="39" spans="1:16" ht="15.6" x14ac:dyDescent="0.3">
      <c r="A39" s="6" t="s">
        <v>461</v>
      </c>
      <c r="B39" s="90">
        <v>1</v>
      </c>
      <c r="C39" s="6" t="s">
        <v>64</v>
      </c>
      <c r="D39" s="6" t="s">
        <v>462</v>
      </c>
      <c r="E39" s="9"/>
      <c r="F39" s="6" t="s">
        <v>114</v>
      </c>
      <c r="G39" s="11" cm="1">
        <f t="array" ref="G39">calculate_Wry(G33*1000,B38,G30,B42,G75,G65,G69)</f>
        <v>19.61411147473979</v>
      </c>
      <c r="H39" s="6" t="s">
        <v>78</v>
      </c>
      <c r="I39" s="6" t="s">
        <v>113</v>
      </c>
      <c r="J39" s="10"/>
      <c r="O39" s="9"/>
      <c r="P39" s="6"/>
    </row>
    <row r="40" spans="1:16" ht="15.6" x14ac:dyDescent="0.3">
      <c r="A40" s="6" t="s">
        <v>103</v>
      </c>
      <c r="B40" s="12">
        <v>7</v>
      </c>
      <c r="C40" s="6" t="s">
        <v>104</v>
      </c>
      <c r="D40" s="6" t="s">
        <v>128</v>
      </c>
      <c r="E40" s="9"/>
      <c r="J40" s="10"/>
      <c r="K40" s="6" t="s">
        <v>392</v>
      </c>
      <c r="L40" s="12">
        <v>4</v>
      </c>
      <c r="M40" s="6" t="s">
        <v>78</v>
      </c>
      <c r="N40" s="6" t="s">
        <v>394</v>
      </c>
      <c r="O40" s="9"/>
      <c r="P40" s="6"/>
    </row>
    <row r="41" spans="1:16" ht="15.6" x14ac:dyDescent="0.3">
      <c r="E41" s="9"/>
      <c r="F41" s="6" t="s">
        <v>384</v>
      </c>
      <c r="G41" s="11" cm="1">
        <f t="array" ref="G41">calculate_bs1(G28,B33,B34,G30,G37,B9)</f>
        <v>4.5427641307901983</v>
      </c>
      <c r="H41" s="6" t="s">
        <v>78</v>
      </c>
      <c r="I41" s="6" t="s">
        <v>95</v>
      </c>
      <c r="J41" s="10"/>
      <c r="K41" s="6" t="s">
        <v>393</v>
      </c>
      <c r="L41" s="12">
        <v>29</v>
      </c>
      <c r="M41" s="6" t="s">
        <v>78</v>
      </c>
      <c r="N41" s="6" t="s">
        <v>395</v>
      </c>
      <c r="O41" s="9"/>
      <c r="P41" s="6"/>
    </row>
    <row r="42" spans="1:16" ht="15.6" x14ac:dyDescent="0.3">
      <c r="A42" s="6" t="s">
        <v>106</v>
      </c>
      <c r="B42" s="12">
        <v>0.95</v>
      </c>
      <c r="C42" s="6"/>
      <c r="D42" s="6" t="s">
        <v>107</v>
      </c>
      <c r="E42" s="9"/>
      <c r="F42" s="6" t="s">
        <v>385</v>
      </c>
      <c r="G42" s="21">
        <f>360/B9</f>
        <v>6.666666666666667</v>
      </c>
      <c r="H42" s="6" t="s">
        <v>186</v>
      </c>
      <c r="I42" s="6" t="s">
        <v>224</v>
      </c>
      <c r="J42" s="10"/>
      <c r="K42" s="6" t="s">
        <v>185</v>
      </c>
      <c r="L42" s="12">
        <v>170</v>
      </c>
      <c r="M42" s="6" t="s">
        <v>415</v>
      </c>
      <c r="N42" s="6"/>
      <c r="O42" s="9"/>
      <c r="P42" s="6"/>
    </row>
    <row r="43" spans="1:16" ht="15.6" x14ac:dyDescent="0.3">
      <c r="A43" s="6" t="s">
        <v>321</v>
      </c>
      <c r="B43" s="12">
        <f>G30*B42</f>
        <v>321.09999999999997</v>
      </c>
      <c r="C43" s="6" t="s">
        <v>78</v>
      </c>
      <c r="D43" s="6" t="s">
        <v>322</v>
      </c>
      <c r="E43" s="9"/>
      <c r="F43" s="6" t="s">
        <v>388</v>
      </c>
      <c r="G43" s="21">
        <f>RADIANS(G42)</f>
        <v>0.11635528346628864</v>
      </c>
      <c r="H43" s="6" t="s">
        <v>187</v>
      </c>
      <c r="I43" s="6" t="s">
        <v>226</v>
      </c>
      <c r="J43" s="10"/>
      <c r="K43" s="6" t="s">
        <v>185</v>
      </c>
      <c r="L43" s="21">
        <f>RADIANS(L42)</f>
        <v>2.9670597283903604</v>
      </c>
      <c r="M43" s="6" t="s">
        <v>187</v>
      </c>
      <c r="N43" s="6"/>
      <c r="O43" s="9"/>
      <c r="P43" s="6"/>
    </row>
    <row r="44" spans="1:16" ht="15.6" x14ac:dyDescent="0.3">
      <c r="A44" s="6" t="s">
        <v>197</v>
      </c>
      <c r="B44" s="12">
        <v>0.5</v>
      </c>
      <c r="C44" s="6" t="s">
        <v>78</v>
      </c>
      <c r="D44" s="6" t="s">
        <v>198</v>
      </c>
      <c r="E44" s="9"/>
      <c r="F44" s="6" t="s">
        <v>386</v>
      </c>
      <c r="G44" s="21">
        <f>180/B9</f>
        <v>3.3333333333333335</v>
      </c>
      <c r="H44" s="6" t="s">
        <v>186</v>
      </c>
      <c r="I44" s="6"/>
      <c r="J44" s="10"/>
      <c r="K44" s="6" t="s">
        <v>416</v>
      </c>
      <c r="L44" s="12">
        <f>180-L42</f>
        <v>10</v>
      </c>
      <c r="M44" s="6" t="s">
        <v>415</v>
      </c>
      <c r="N44" s="6"/>
      <c r="O44" s="9"/>
      <c r="P44" s="6"/>
    </row>
    <row r="45" spans="1:16" ht="15.6" x14ac:dyDescent="0.3">
      <c r="E45" s="9"/>
      <c r="F45" s="6" t="s">
        <v>387</v>
      </c>
      <c r="G45" s="12">
        <f>RADIANS(G44)</f>
        <v>5.8177641733144318E-2</v>
      </c>
      <c r="H45" s="6" t="s">
        <v>187</v>
      </c>
      <c r="I45" s="6"/>
      <c r="J45" s="10"/>
      <c r="K45" s="6" t="s">
        <v>416</v>
      </c>
      <c r="L45" s="21">
        <f>RADIANS(L44)</f>
        <v>0.17453292519943295</v>
      </c>
      <c r="M45" s="6" t="s">
        <v>187</v>
      </c>
      <c r="N45" s="6"/>
      <c r="O45" s="9"/>
      <c r="P45" s="6"/>
    </row>
    <row r="46" spans="1:16" ht="15.6" x14ac:dyDescent="0.3">
      <c r="A46" s="6" t="s">
        <v>142</v>
      </c>
      <c r="B46" s="12">
        <v>1.3</v>
      </c>
      <c r="C46" s="6" t="s">
        <v>64</v>
      </c>
      <c r="D46" s="6" t="s">
        <v>147</v>
      </c>
      <c r="E46" s="9"/>
      <c r="F46" s="6" t="s">
        <v>380</v>
      </c>
      <c r="G46" s="21">
        <f>90 - G44</f>
        <v>86.666666666666671</v>
      </c>
      <c r="H46" s="6" t="s">
        <v>186</v>
      </c>
      <c r="I46" s="6"/>
      <c r="J46" s="10"/>
      <c r="K46" s="6" t="s">
        <v>417</v>
      </c>
      <c r="L46" s="12">
        <v>9.5</v>
      </c>
      <c r="M46" s="6" t="s">
        <v>78</v>
      </c>
      <c r="N46" s="6" t="s">
        <v>189</v>
      </c>
      <c r="O46" s="9"/>
      <c r="P46" s="6"/>
    </row>
    <row r="47" spans="1:16" ht="15.6" x14ac:dyDescent="0.3">
      <c r="A47" s="6" t="s">
        <v>143</v>
      </c>
      <c r="B47" s="12">
        <v>0.9</v>
      </c>
      <c r="C47" s="6"/>
      <c r="D47" s="6" t="s">
        <v>148</v>
      </c>
      <c r="E47" s="9"/>
      <c r="F47" s="6" t="s">
        <v>381</v>
      </c>
      <c r="G47" s="12">
        <f>RADIANS(G46)</f>
        <v>1.5126186850617525</v>
      </c>
      <c r="H47" s="6" t="s">
        <v>187</v>
      </c>
      <c r="J47" s="10"/>
      <c r="K47" s="6" t="s">
        <v>63</v>
      </c>
      <c r="L47" s="21">
        <v>0.57379999999999998</v>
      </c>
      <c r="M47" s="6" t="s">
        <v>418</v>
      </c>
      <c r="N47" s="6" t="s">
        <v>396</v>
      </c>
      <c r="O47" s="9"/>
      <c r="P47" s="6"/>
    </row>
    <row r="48" spans="1:16" ht="15.6" x14ac:dyDescent="0.3">
      <c r="A48" s="6" t="s">
        <v>144</v>
      </c>
      <c r="B48" s="12">
        <v>1.1499999999999999</v>
      </c>
      <c r="C48" s="6"/>
      <c r="D48" s="6" t="s">
        <v>149</v>
      </c>
      <c r="E48" s="9"/>
      <c r="F48" s="6" t="s">
        <v>139</v>
      </c>
      <c r="G48" s="11" cm="1">
        <f t="array" ref="G48">calculate_hs2(G28,B33,B34,G37,B9,G41,G22)</f>
        <v>12.403983803388455</v>
      </c>
      <c r="H48" s="6" t="s">
        <v>78</v>
      </c>
      <c r="I48" s="6" t="s">
        <v>98</v>
      </c>
      <c r="J48" s="10"/>
      <c r="K48" s="6" t="s">
        <v>430</v>
      </c>
      <c r="L48" s="11">
        <f>_xlfn.CEILING.MATH(G28-2*(B29+L46+L40+G39))</f>
        <v>107</v>
      </c>
      <c r="M48" s="6" t="s">
        <v>78</v>
      </c>
      <c r="N48" s="6" t="s">
        <v>431</v>
      </c>
      <c r="O48" s="9"/>
      <c r="P48" s="6"/>
    </row>
    <row r="49" spans="1:16" ht="15.6" x14ac:dyDescent="0.3">
      <c r="A49" s="6" t="s">
        <v>145</v>
      </c>
      <c r="B49" s="12">
        <v>-1005.3</v>
      </c>
      <c r="C49" s="6" t="s">
        <v>67</v>
      </c>
      <c r="D49" s="6" t="s">
        <v>150</v>
      </c>
      <c r="E49" s="9"/>
      <c r="F49" s="6" t="s">
        <v>140</v>
      </c>
      <c r="G49" s="11" cm="1">
        <f t="array" ref="G49">calculate_bs2(G41,G48,G22)</f>
        <v>5.9876637042951515</v>
      </c>
      <c r="H49" s="6" t="s">
        <v>78</v>
      </c>
      <c r="I49" s="6" t="s">
        <v>141</v>
      </c>
      <c r="J49" s="10"/>
      <c r="O49" s="9"/>
      <c r="P49" s="6"/>
    </row>
    <row r="50" spans="1:16" ht="15.6" x14ac:dyDescent="0.3">
      <c r="A50" s="6" t="s">
        <v>146</v>
      </c>
      <c r="B50" s="12">
        <v>-200</v>
      </c>
      <c r="C50" s="6" t="s">
        <v>67</v>
      </c>
      <c r="D50" s="6" t="s">
        <v>151</v>
      </c>
      <c r="E50" s="9"/>
      <c r="J50" s="10"/>
      <c r="K50" s="6" t="s">
        <v>270</v>
      </c>
      <c r="L50" s="11" cm="1">
        <f t="array" ref="L50">calculate_Kg_cu(L18,L34,Material_Properties!D7,B9)</f>
        <v>11.618607872605052</v>
      </c>
      <c r="M50" s="6" t="s">
        <v>275</v>
      </c>
      <c r="N50" s="6" t="s">
        <v>276</v>
      </c>
      <c r="O50" s="9"/>
      <c r="P50" s="6"/>
    </row>
    <row r="51" spans="1:16" ht="15.6" x14ac:dyDescent="0.3">
      <c r="A51" s="6"/>
      <c r="B51" s="12"/>
      <c r="C51" s="6"/>
      <c r="D51" s="6"/>
      <c r="E51" s="9"/>
      <c r="F51" s="6" t="s">
        <v>162</v>
      </c>
      <c r="G51" s="11">
        <f>1/(1+5*B29/G41)</f>
        <v>0.56482622851005748</v>
      </c>
      <c r="H51" s="6"/>
      <c r="I51" s="6" t="s">
        <v>161</v>
      </c>
      <c r="J51" s="10"/>
      <c r="K51" s="6" t="s">
        <v>328</v>
      </c>
      <c r="L51" s="11" cm="1">
        <f t="array" ref="L51">Calculate_SSA(B33,B32,G41,B34,L24,L21)</f>
        <v>100.3168993067744</v>
      </c>
      <c r="M51" s="6" t="s">
        <v>330</v>
      </c>
      <c r="N51" s="6" t="s">
        <v>329</v>
      </c>
      <c r="O51" s="9"/>
      <c r="P51" s="6"/>
    </row>
    <row r="52" spans="1:16" ht="15.6" x14ac:dyDescent="0.3">
      <c r="A52" s="6" t="s">
        <v>178</v>
      </c>
      <c r="B52" s="12">
        <v>1</v>
      </c>
      <c r="C52" s="6" t="s">
        <v>78</v>
      </c>
      <c r="D52" s="6" t="s">
        <v>184</v>
      </c>
      <c r="E52" s="9"/>
      <c r="F52" s="6" t="s">
        <v>382</v>
      </c>
      <c r="G52" s="11">
        <f>PI()*G28/B9</f>
        <v>10.12290966156711</v>
      </c>
      <c r="H52" s="6" t="s">
        <v>78</v>
      </c>
      <c r="I52" s="6" t="s">
        <v>168</v>
      </c>
      <c r="J52" s="10"/>
      <c r="K52" s="6" t="s">
        <v>331</v>
      </c>
      <c r="L52" s="11" cm="1">
        <f t="array" ref="L52">Calculate_SLA(B9,L51,L26,G28)</f>
        <v>21076.723683320306</v>
      </c>
      <c r="M52" s="6" t="s">
        <v>330</v>
      </c>
      <c r="N52" s="6" t="s">
        <v>332</v>
      </c>
      <c r="O52" s="9"/>
      <c r="P52" s="6"/>
    </row>
    <row r="53" spans="1:16" ht="15.6" x14ac:dyDescent="0.3">
      <c r="A53" s="6" t="s">
        <v>179</v>
      </c>
      <c r="B53" s="12">
        <v>1</v>
      </c>
      <c r="C53" s="6" t="s">
        <v>78</v>
      </c>
      <c r="D53" s="6" t="s">
        <v>183</v>
      </c>
      <c r="E53" s="9"/>
      <c r="F53" s="6" t="s">
        <v>383</v>
      </c>
      <c r="G53" s="11">
        <f>G37+G41</f>
        <v>10.415610012895431</v>
      </c>
      <c r="H53" s="6" t="s">
        <v>78</v>
      </c>
      <c r="I53" s="6"/>
      <c r="J53" s="10"/>
      <c r="K53" s="6" t="s">
        <v>333</v>
      </c>
      <c r="L53" s="11" cm="1">
        <f t="array" ref="L53">Calculate_RLA(G28,B29,L27,B8,G66,G65)</f>
        <v>15636.790561699647</v>
      </c>
      <c r="M53" s="6" t="s">
        <v>330</v>
      </c>
      <c r="N53" s="6" t="s">
        <v>334</v>
      </c>
      <c r="O53" s="9"/>
      <c r="P53" s="6"/>
    </row>
    <row r="54" spans="1:16" ht="15.6" x14ac:dyDescent="0.3">
      <c r="A54" s="6"/>
      <c r="B54" s="12"/>
      <c r="C54" s="6"/>
      <c r="D54" s="6"/>
      <c r="E54" s="9"/>
      <c r="F54" s="6" t="s">
        <v>167</v>
      </c>
      <c r="G54" s="11">
        <v>71363.572184000004</v>
      </c>
      <c r="H54" s="6" t="s">
        <v>177</v>
      </c>
      <c r="I54" s="6" t="s">
        <v>169</v>
      </c>
      <c r="J54" s="10"/>
      <c r="K54" s="6" t="s">
        <v>271</v>
      </c>
      <c r="L54" s="11" cm="1">
        <f t="array" ref="L54">calculate_Kg_stator(L10,Material_Properties!D8,L52)</f>
        <v>41.363070228516101</v>
      </c>
      <c r="M54" s="6" t="s">
        <v>275</v>
      </c>
      <c r="N54" s="6" t="s">
        <v>277</v>
      </c>
      <c r="O54" s="9"/>
      <c r="P54" s="6"/>
    </row>
    <row r="55" spans="1:16" ht="15.6" x14ac:dyDescent="0.3">
      <c r="A55" s="6" t="s">
        <v>180</v>
      </c>
      <c r="B55" s="12">
        <v>0.7</v>
      </c>
      <c r="C55" s="6"/>
      <c r="D55" s="6" t="s">
        <v>181</v>
      </c>
      <c r="E55" s="9"/>
      <c r="F55" s="6" t="s">
        <v>171</v>
      </c>
      <c r="G55" s="78">
        <v>1.256637061E-6</v>
      </c>
      <c r="H55" s="6" t="s">
        <v>156</v>
      </c>
      <c r="I55" s="6" t="s">
        <v>170</v>
      </c>
      <c r="J55" s="10"/>
      <c r="K55" s="6" t="s">
        <v>272</v>
      </c>
      <c r="L55" s="11" cm="1">
        <f t="array" ref="L55">calculate_Kg_rotor(L53,L10,Material_Properties!D8)</f>
        <v>30.687201477335563</v>
      </c>
      <c r="M55" s="6" t="s">
        <v>275</v>
      </c>
      <c r="N55" s="6" t="s">
        <v>278</v>
      </c>
      <c r="O55" s="9"/>
      <c r="P55" s="6"/>
    </row>
    <row r="56" spans="1:16" ht="15.6" x14ac:dyDescent="0.3">
      <c r="E56" s="9"/>
      <c r="F56" s="6" t="s">
        <v>163</v>
      </c>
      <c r="G56" s="11">
        <f>G54*G55*G53/B29</f>
        <v>1.3343603091568772</v>
      </c>
      <c r="H56" s="6"/>
      <c r="I56" s="6" t="s">
        <v>165</v>
      </c>
      <c r="J56" s="10"/>
      <c r="K56" s="6" t="s">
        <v>273</v>
      </c>
      <c r="L56" s="11" cm="1">
        <f t="array" ref="L56">calculate_Kg_mag(B8,G66,G65,L10,Material_Properties!D9)</f>
        <v>2.1011792950162</v>
      </c>
      <c r="M56" s="6" t="s">
        <v>275</v>
      </c>
      <c r="N56" s="6" t="s">
        <v>279</v>
      </c>
      <c r="O56" s="9"/>
      <c r="P56" s="6"/>
    </row>
    <row r="57" spans="1:16" ht="15.6" x14ac:dyDescent="0.3">
      <c r="A57" s="6" t="s">
        <v>234</v>
      </c>
      <c r="B57" s="12">
        <v>40</v>
      </c>
      <c r="C57" s="6" t="s">
        <v>238</v>
      </c>
      <c r="D57" s="6" t="s">
        <v>236</v>
      </c>
      <c r="E57" s="9"/>
      <c r="F57" s="6" t="s">
        <v>164</v>
      </c>
      <c r="G57" s="11">
        <f>G56*B29</f>
        <v>0.93405221640981395</v>
      </c>
      <c r="H57" s="6" t="s">
        <v>78</v>
      </c>
      <c r="I57" s="6" t="s">
        <v>166</v>
      </c>
      <c r="J57" s="10"/>
      <c r="K57" s="6" t="s">
        <v>274</v>
      </c>
      <c r="L57" s="11">
        <f>SUM(L50,L54,L55,L56)</f>
        <v>85.770058873472905</v>
      </c>
      <c r="M57" s="6" t="s">
        <v>275</v>
      </c>
      <c r="N57" s="6" t="s">
        <v>280</v>
      </c>
      <c r="O57" s="9"/>
      <c r="P57" s="6"/>
    </row>
    <row r="58" spans="1:16" ht="15.6" x14ac:dyDescent="0.3">
      <c r="A58" s="6" t="s">
        <v>235</v>
      </c>
      <c r="B58" s="12">
        <v>100</v>
      </c>
      <c r="C58" s="6" t="s">
        <v>238</v>
      </c>
      <c r="D58" s="6" t="s">
        <v>237</v>
      </c>
      <c r="E58" s="9"/>
      <c r="J58" s="10"/>
      <c r="O58" s="9"/>
      <c r="P58" s="6"/>
    </row>
    <row r="59" spans="1:16" ht="15.6" x14ac:dyDescent="0.3">
      <c r="A59" s="6" t="s">
        <v>424</v>
      </c>
      <c r="B59" s="12">
        <v>1.3</v>
      </c>
      <c r="C59" s="6"/>
      <c r="D59" s="6" t="s">
        <v>425</v>
      </c>
      <c r="E59" s="9"/>
      <c r="F59" s="6" t="s">
        <v>152</v>
      </c>
      <c r="G59" s="11">
        <f>B20*SIN(1.047197551)</f>
        <v>0.77942286331752586</v>
      </c>
      <c r="H59" s="6" t="s">
        <v>64</v>
      </c>
      <c r="I59" s="6" t="s">
        <v>157</v>
      </c>
      <c r="J59" s="10"/>
      <c r="K59" s="6" t="s">
        <v>284</v>
      </c>
      <c r="L59" s="11">
        <f>B3/L57</f>
        <v>1.5246072368506138</v>
      </c>
      <c r="M59" s="6" t="s">
        <v>282</v>
      </c>
      <c r="N59" s="6" t="s">
        <v>281</v>
      </c>
      <c r="O59" s="9"/>
      <c r="P59" s="6"/>
    </row>
    <row r="60" spans="1:16" ht="15.6" x14ac:dyDescent="0.3">
      <c r="A60" s="6" t="s">
        <v>463</v>
      </c>
      <c r="B60" s="12">
        <v>177.7</v>
      </c>
      <c r="C60" s="6"/>
      <c r="D60" s="6" t="s">
        <v>464</v>
      </c>
      <c r="E60" s="9"/>
      <c r="F60" s="6" t="s">
        <v>153</v>
      </c>
      <c r="G60" s="11">
        <f>G59/G55</f>
        <v>620245.00749427266</v>
      </c>
      <c r="H60" s="6" t="s">
        <v>158</v>
      </c>
      <c r="I60" s="6" t="s">
        <v>172</v>
      </c>
      <c r="J60" s="10"/>
      <c r="K60" s="6" t="s">
        <v>283</v>
      </c>
      <c r="L60" s="11">
        <f>G6/L57</f>
        <v>2.7573724806331583</v>
      </c>
      <c r="M60" s="6" t="s">
        <v>286</v>
      </c>
      <c r="N60" s="6" t="s">
        <v>285</v>
      </c>
      <c r="O60" s="9"/>
      <c r="P60" s="6"/>
    </row>
    <row r="61" spans="1:16" ht="15.6" x14ac:dyDescent="0.3">
      <c r="A61" s="6" t="s">
        <v>467</v>
      </c>
      <c r="B61" s="12">
        <v>2.92</v>
      </c>
      <c r="C61" s="6"/>
      <c r="D61" s="6" t="s">
        <v>465</v>
      </c>
      <c r="E61" s="9"/>
      <c r="F61" s="6" t="s">
        <v>154</v>
      </c>
      <c r="G61" s="15">
        <f>-B46/(B49*1000)</f>
        <v>1.2931463244802546E-6</v>
      </c>
      <c r="H61" s="6" t="s">
        <v>156</v>
      </c>
      <c r="I61" s="6" t="s">
        <v>155</v>
      </c>
      <c r="J61" s="10"/>
      <c r="K61" s="6" t="s">
        <v>287</v>
      </c>
      <c r="L61" s="11">
        <f>G6/SQRT(L38)</f>
        <v>5.4826376226204649</v>
      </c>
      <c r="M61" s="6" t="s">
        <v>289</v>
      </c>
      <c r="N61" s="6" t="s">
        <v>288</v>
      </c>
      <c r="O61" s="9"/>
      <c r="P61" s="6"/>
    </row>
    <row r="62" spans="1:16" ht="15.6" x14ac:dyDescent="0.3">
      <c r="A62" s="6" t="s">
        <v>468</v>
      </c>
      <c r="B62" s="12">
        <v>1.66</v>
      </c>
      <c r="C62" s="6"/>
      <c r="D62" s="6" t="s">
        <v>466</v>
      </c>
      <c r="E62" s="9"/>
      <c r="J62" s="10"/>
      <c r="K62" s="6" t="s">
        <v>474</v>
      </c>
      <c r="L62" s="11">
        <f>G6/G13</f>
        <v>0.41313786969932287</v>
      </c>
      <c r="M62" s="6" t="s">
        <v>475</v>
      </c>
      <c r="N62" s="6" t="s">
        <v>476</v>
      </c>
      <c r="O62" s="9"/>
      <c r="P62" s="6"/>
    </row>
    <row r="63" spans="1:16" ht="15.6" x14ac:dyDescent="0.3">
      <c r="E63" s="9"/>
      <c r="F63" s="6" t="s">
        <v>159</v>
      </c>
      <c r="G63" s="11">
        <f>G61*B50*1000+B46</f>
        <v>1.0413707351039492</v>
      </c>
      <c r="H63" s="6" t="s">
        <v>64</v>
      </c>
      <c r="I63" s="6" t="s">
        <v>160</v>
      </c>
      <c r="J63" s="10"/>
      <c r="K63" s="6"/>
      <c r="L63" s="12"/>
      <c r="M63" s="6"/>
      <c r="N63" s="6"/>
      <c r="O63" s="9"/>
      <c r="P63" s="6"/>
    </row>
    <row r="64" spans="1:16" ht="15.6" x14ac:dyDescent="0.3">
      <c r="E64" s="9"/>
      <c r="J64" s="10"/>
      <c r="K64" s="6" t="s">
        <v>426</v>
      </c>
      <c r="L64" s="11">
        <v>21350.382989999998</v>
      </c>
      <c r="M64" s="6" t="s">
        <v>330</v>
      </c>
      <c r="N64" s="6" t="s">
        <v>428</v>
      </c>
      <c r="O64" s="9"/>
      <c r="P64" s="6"/>
    </row>
    <row r="65" spans="1:16" ht="15.6" x14ac:dyDescent="0.3">
      <c r="E65" s="9"/>
      <c r="F65" s="16" t="s">
        <v>173</v>
      </c>
      <c r="G65" s="73">
        <f>ABS(G60*G57*B48/(B50*1000))</f>
        <v>3.3312120378110954</v>
      </c>
      <c r="H65" s="16" t="s">
        <v>78</v>
      </c>
      <c r="I65" s="16" t="s">
        <v>175</v>
      </c>
      <c r="J65" s="10"/>
      <c r="K65" s="6" t="s">
        <v>438</v>
      </c>
      <c r="L65" s="11">
        <v>12796.238069999999</v>
      </c>
      <c r="M65" s="6" t="s">
        <v>330</v>
      </c>
      <c r="N65" s="6" t="s">
        <v>439</v>
      </c>
      <c r="O65" s="9"/>
      <c r="P65" s="6"/>
    </row>
    <row r="66" spans="1:16" ht="15.6" x14ac:dyDescent="0.3">
      <c r="E66" s="9"/>
      <c r="F66" s="16" t="s">
        <v>174</v>
      </c>
      <c r="G66" s="73">
        <f>B21*G29/(B47*G63*2)</f>
        <v>27.847911432910806</v>
      </c>
      <c r="H66" s="16" t="s">
        <v>78</v>
      </c>
      <c r="I66" s="16" t="s">
        <v>176</v>
      </c>
      <c r="J66" s="10"/>
      <c r="K66" s="6" t="s">
        <v>427</v>
      </c>
      <c r="L66" s="11">
        <f>L64*L10</f>
        <v>5337595.7474999996</v>
      </c>
      <c r="M66" s="6" t="s">
        <v>366</v>
      </c>
      <c r="N66" s="6" t="s">
        <v>429</v>
      </c>
      <c r="O66" s="9"/>
      <c r="P66" s="6"/>
    </row>
    <row r="67" spans="1:16" ht="15.6" x14ac:dyDescent="0.3">
      <c r="A67" s="6"/>
      <c r="B67" s="12"/>
      <c r="C67" s="6"/>
      <c r="D67" s="6"/>
      <c r="E67" s="9"/>
      <c r="F67" s="6"/>
      <c r="G67" s="12"/>
      <c r="H67" s="6"/>
      <c r="I67" s="6"/>
      <c r="J67" s="10"/>
      <c r="K67" s="6" t="s">
        <v>436</v>
      </c>
      <c r="L67" s="11">
        <f>L65*L10</f>
        <v>3199059.5175000001</v>
      </c>
      <c r="M67" s="6" t="s">
        <v>366</v>
      </c>
      <c r="N67" s="6" t="s">
        <v>437</v>
      </c>
      <c r="O67" s="9"/>
      <c r="P67" s="6"/>
    </row>
    <row r="68" spans="1:16" ht="15.6" x14ac:dyDescent="0.3">
      <c r="A68" s="6"/>
      <c r="B68" s="12"/>
      <c r="C68" s="6"/>
      <c r="D68" s="6"/>
      <c r="E68" s="9"/>
      <c r="F68" s="6" t="s">
        <v>185</v>
      </c>
      <c r="G68" s="12">
        <f>DEGREES(B55*PI())</f>
        <v>126</v>
      </c>
      <c r="H68" s="6" t="s">
        <v>186</v>
      </c>
      <c r="I68" s="6"/>
      <c r="J68" s="10"/>
      <c r="K68" s="6" t="s">
        <v>362</v>
      </c>
      <c r="L68" s="11">
        <f>(L66-L69)/B9</f>
        <v>31060.856104890772</v>
      </c>
      <c r="M68" s="6" t="s">
        <v>366</v>
      </c>
      <c r="N68" s="6" t="s">
        <v>364</v>
      </c>
      <c r="O68" s="9"/>
      <c r="P68" s="6"/>
    </row>
    <row r="69" spans="1:16" ht="15.6" x14ac:dyDescent="0.3">
      <c r="A69" s="6"/>
      <c r="B69" s="12"/>
      <c r="C69" s="6"/>
      <c r="D69" s="6"/>
      <c r="E69" s="9"/>
      <c r="F69" s="6" t="s">
        <v>391</v>
      </c>
      <c r="G69" s="21">
        <f>RADIANS(G68)</f>
        <v>2.1991148575128552</v>
      </c>
      <c r="H69" s="6" t="s">
        <v>187</v>
      </c>
      <c r="I69" s="6"/>
      <c r="J69" s="10"/>
      <c r="K69" s="6" t="s">
        <v>363</v>
      </c>
      <c r="L69" s="11">
        <f>PI()*(POWER((L26/2),2) - POWER(((G28/2)+B33+B34+L21),2))*L10</f>
        <v>3660309.5178358979</v>
      </c>
      <c r="M69" s="6" t="s">
        <v>366</v>
      </c>
      <c r="N69" s="6" t="s">
        <v>365</v>
      </c>
      <c r="O69" s="9"/>
      <c r="P69" s="6"/>
    </row>
    <row r="70" spans="1:16" ht="15.6" x14ac:dyDescent="0.3">
      <c r="A70" s="6"/>
      <c r="B70" s="12"/>
      <c r="C70" s="6"/>
      <c r="D70" s="6"/>
      <c r="E70" s="9"/>
      <c r="F70" s="6" t="s">
        <v>408</v>
      </c>
      <c r="G70" s="3">
        <f>180-G68</f>
        <v>54</v>
      </c>
      <c r="H70" s="6" t="s">
        <v>186</v>
      </c>
      <c r="J70" s="10"/>
      <c r="K70" s="6" t="s">
        <v>367</v>
      </c>
      <c r="L70" s="90">
        <f>L26/2</f>
        <v>126.5</v>
      </c>
      <c r="M70" s="6" t="s">
        <v>78</v>
      </c>
      <c r="N70" s="6" t="s">
        <v>368</v>
      </c>
      <c r="O70" s="9"/>
      <c r="P70" s="6"/>
    </row>
    <row r="71" spans="1:16" ht="15.6" x14ac:dyDescent="0.3">
      <c r="A71" s="6"/>
      <c r="B71" s="12"/>
      <c r="C71" s="6"/>
      <c r="D71" s="6"/>
      <c r="E71" s="9"/>
      <c r="F71" s="6" t="s">
        <v>409</v>
      </c>
      <c r="G71" s="79">
        <f>RADIANS(G70)</f>
        <v>0.94247779607693793</v>
      </c>
      <c r="H71" s="6" t="s">
        <v>187</v>
      </c>
      <c r="J71" s="10"/>
      <c r="K71" s="6" t="s">
        <v>440</v>
      </c>
      <c r="L71" s="11">
        <f>L66+L67</f>
        <v>8536655.2650000006</v>
      </c>
      <c r="M71" s="6" t="s">
        <v>366</v>
      </c>
      <c r="N71" s="6" t="s">
        <v>441</v>
      </c>
      <c r="O71" s="9"/>
      <c r="P71" s="6"/>
    </row>
    <row r="72" spans="1:16" ht="15.6" x14ac:dyDescent="0.3">
      <c r="A72" s="6"/>
      <c r="B72" s="12"/>
      <c r="C72" s="6"/>
      <c r="D72" s="6"/>
      <c r="E72" s="9"/>
      <c r="J72" s="10"/>
      <c r="O72" s="9"/>
      <c r="P72" s="6"/>
    </row>
    <row r="73" spans="1:16" ht="15.6" x14ac:dyDescent="0.3">
      <c r="A73" s="6"/>
      <c r="B73" s="12"/>
      <c r="C73" s="6"/>
      <c r="D73" s="6"/>
      <c r="E73" s="9"/>
      <c r="F73" s="6" t="s">
        <v>401</v>
      </c>
      <c r="G73" s="11" cm="1">
        <f t="array" ref="G73">DEGREES(2*ASIN(calculate_beta_v(G66,G69,G28,B29,B53,B52)))</f>
        <v>34.524862861745063</v>
      </c>
      <c r="H73" s="6" t="s">
        <v>186</v>
      </c>
      <c r="I73" s="6" t="s">
        <v>389</v>
      </c>
      <c r="J73" s="10"/>
      <c r="K73" s="6" t="s">
        <v>369</v>
      </c>
      <c r="L73" s="11">
        <f>B60*POWER(B37,2)*G15*(L68*10^(-9))*B9</f>
        <v>154.22493913257267</v>
      </c>
      <c r="M73" s="6" t="s">
        <v>269</v>
      </c>
      <c r="N73" s="6" t="s">
        <v>442</v>
      </c>
      <c r="O73" s="9"/>
      <c r="P73" s="6"/>
    </row>
    <row r="74" spans="1:16" ht="15.6" x14ac:dyDescent="0.3">
      <c r="A74" s="6"/>
      <c r="B74" s="12"/>
      <c r="C74" s="6"/>
      <c r="D74" s="6"/>
      <c r="E74" s="9"/>
      <c r="F74" s="6" t="s">
        <v>402</v>
      </c>
      <c r="G74" s="21">
        <f>RADIANS(G73)</f>
        <v>0.60257253073696315</v>
      </c>
      <c r="H74" s="6" t="s">
        <v>187</v>
      </c>
      <c r="I74" s="6" t="s">
        <v>390</v>
      </c>
      <c r="J74" s="10"/>
      <c r="K74" s="6" t="s">
        <v>372</v>
      </c>
      <c r="L74" s="11">
        <f>B60*POWER(B37,2)*G15*(L69*10^(-9))</f>
        <v>336.56212196273043</v>
      </c>
      <c r="M74" s="6" t="s">
        <v>269</v>
      </c>
      <c r="N74" s="6" t="s">
        <v>375</v>
      </c>
      <c r="O74" s="9"/>
      <c r="P74" s="6"/>
    </row>
    <row r="75" spans="1:16" ht="15.6" x14ac:dyDescent="0.3">
      <c r="A75" s="6"/>
      <c r="B75" s="12"/>
      <c r="C75" s="6"/>
      <c r="D75" s="6"/>
      <c r="E75" s="9"/>
      <c r="F75" s="6" t="s">
        <v>188</v>
      </c>
      <c r="G75" s="11" cm="1">
        <f t="array" ref="G75">calculate_dpc(G28,B29,B52,G74,G66,G69)</f>
        <v>17.484976123524568</v>
      </c>
      <c r="H75" s="6" t="s">
        <v>78</v>
      </c>
      <c r="I75" s="6" t="s">
        <v>189</v>
      </c>
      <c r="J75" s="10"/>
      <c r="K75" s="6" t="s">
        <v>443</v>
      </c>
      <c r="L75" s="11">
        <f>B60*POWER(B39,2)*G15*(L67*10^(-9))</f>
        <v>150.076839332574</v>
      </c>
      <c r="M75" s="6" t="s">
        <v>269</v>
      </c>
      <c r="N75" s="6" t="s">
        <v>444</v>
      </c>
      <c r="O75" s="9"/>
      <c r="P75" s="6"/>
    </row>
    <row r="76" spans="1:16" ht="15.6" x14ac:dyDescent="0.3">
      <c r="A76" s="6"/>
      <c r="B76" s="12"/>
      <c r="C76" s="6"/>
      <c r="D76" s="6"/>
      <c r="K76" s="6" t="s">
        <v>445</v>
      </c>
      <c r="L76" s="11">
        <f>L73+L74+L75</f>
        <v>640.86390042787707</v>
      </c>
      <c r="M76" s="6" t="s">
        <v>269</v>
      </c>
      <c r="N76" s="6" t="s">
        <v>446</v>
      </c>
    </row>
    <row r="77" spans="1:16" ht="15.6" x14ac:dyDescent="0.3">
      <c r="A77" s="6"/>
      <c r="B77" s="12"/>
      <c r="C77" s="6"/>
      <c r="D77" s="6"/>
    </row>
    <row r="78" spans="1:16" ht="15.6" x14ac:dyDescent="0.3">
      <c r="K78" s="6" t="s">
        <v>370</v>
      </c>
      <c r="L78" s="11">
        <f>B61*POWER(G15,2)*POWER(B37,2)*(L68*10^(-9))*B9</f>
        <v>669.04288732986845</v>
      </c>
      <c r="M78" s="6" t="s">
        <v>269</v>
      </c>
      <c r="N78" s="6" t="s">
        <v>447</v>
      </c>
    </row>
    <row r="79" spans="1:16" ht="15.6" x14ac:dyDescent="0.3">
      <c r="K79" s="6" t="s">
        <v>373</v>
      </c>
      <c r="L79" s="11">
        <f>B61*POWER(G15,2)*POWER(B37,2)*(L69*10^(-9))</f>
        <v>1460.0394405100151</v>
      </c>
      <c r="M79" s="6" t="s">
        <v>269</v>
      </c>
      <c r="N79" s="6" t="s">
        <v>376</v>
      </c>
    </row>
    <row r="80" spans="1:16" ht="15.6" x14ac:dyDescent="0.3">
      <c r="K80" s="6" t="s">
        <v>448</v>
      </c>
      <c r="L80" s="11">
        <f>B61*POWER(G15,2)*POWER(B39,2)*(L67*10^(-9))</f>
        <v>651.04802422450564</v>
      </c>
      <c r="M80" s="6" t="s">
        <v>269</v>
      </c>
      <c r="N80" s="6" t="s">
        <v>449</v>
      </c>
    </row>
    <row r="81" spans="11:14" ht="15.6" x14ac:dyDescent="0.3">
      <c r="K81" s="6" t="s">
        <v>450</v>
      </c>
      <c r="L81" s="11">
        <f>L78+L79+L80</f>
        <v>2780.1303520643892</v>
      </c>
      <c r="M81" s="6" t="s">
        <v>269</v>
      </c>
      <c r="N81" s="6" t="s">
        <v>451</v>
      </c>
    </row>
    <row r="83" spans="11:14" ht="15.6" x14ac:dyDescent="0.3">
      <c r="K83" s="6" t="s">
        <v>371</v>
      </c>
      <c r="L83" s="11">
        <f>B62*POWER(G15,1.5)*POWER(B36,1.5)*(L68*10^(-9))*B9</f>
        <v>24.171362625083379</v>
      </c>
      <c r="M83" s="6" t="s">
        <v>269</v>
      </c>
      <c r="N83" s="6" t="s">
        <v>454</v>
      </c>
    </row>
    <row r="84" spans="11:14" ht="15.6" x14ac:dyDescent="0.3">
      <c r="K84" s="6" t="s">
        <v>374</v>
      </c>
      <c r="L84" s="11">
        <f>B62*POWER(G15,1.5)*POWER(B37,1.5)*(L69*10^(-9))</f>
        <v>43.174154665833598</v>
      </c>
      <c r="M84" s="6" t="s">
        <v>269</v>
      </c>
      <c r="N84" s="6" t="s">
        <v>377</v>
      </c>
    </row>
    <row r="85" spans="11:14" ht="15.6" x14ac:dyDescent="0.3">
      <c r="K85" s="6" t="s">
        <v>452</v>
      </c>
      <c r="L85" s="11">
        <f>B62*POWER(G15,1.5)*POWER(B39,1.5)*(L67*10^(-9))</f>
        <v>22.779086219446178</v>
      </c>
      <c r="M85" s="6" t="s">
        <v>269</v>
      </c>
      <c r="N85" s="6" t="s">
        <v>455</v>
      </c>
    </row>
    <row r="86" spans="11:14" ht="15.6" x14ac:dyDescent="0.3">
      <c r="K86" s="6" t="s">
        <v>453</v>
      </c>
      <c r="L86" s="11">
        <f>L83+L84+L85</f>
        <v>90.124603510363158</v>
      </c>
      <c r="M86" s="6" t="s">
        <v>269</v>
      </c>
      <c r="N86" s="6" t="s">
        <v>456</v>
      </c>
    </row>
    <row r="88" spans="11:14" ht="15.6" x14ac:dyDescent="0.3">
      <c r="K88" s="6" t="s">
        <v>457</v>
      </c>
      <c r="L88" s="11">
        <f>L76+L81+L86</f>
        <v>3511.1188560026294</v>
      </c>
      <c r="M88" s="6" t="s">
        <v>269</v>
      </c>
      <c r="N88" s="6" t="s">
        <v>458</v>
      </c>
    </row>
    <row r="89" spans="11:14" ht="15.6" x14ac:dyDescent="0.3">
      <c r="K89" s="6" t="s">
        <v>459</v>
      </c>
      <c r="L89" s="11">
        <f>0.01*G4</f>
        <v>1.3764805522484209</v>
      </c>
      <c r="M89" s="6" t="s">
        <v>269</v>
      </c>
      <c r="N89" s="6" t="s">
        <v>460</v>
      </c>
    </row>
    <row r="90" spans="11:14" ht="15.6" x14ac:dyDescent="0.3">
      <c r="K90" s="6" t="s">
        <v>472</v>
      </c>
      <c r="L90" s="11">
        <f>((G4*1000)-(L38+L88+L89))/1000</f>
        <v>132.27483054565351</v>
      </c>
      <c r="M90" s="6" t="s">
        <v>4</v>
      </c>
      <c r="N90" s="6" t="s">
        <v>18</v>
      </c>
    </row>
    <row r="91" spans="11:14" ht="15.6" x14ac:dyDescent="0.3">
      <c r="K91" s="6" t="s">
        <v>434</v>
      </c>
      <c r="L91" s="71">
        <f>L90/G4</f>
        <v>0.96096403490473115</v>
      </c>
      <c r="M91" s="6"/>
      <c r="N91" s="6" t="s">
        <v>435</v>
      </c>
    </row>
    <row r="92" spans="11:14" ht="15.6" x14ac:dyDescent="0.3">
      <c r="K92" s="6"/>
      <c r="L92" s="12"/>
      <c r="M92" s="6"/>
      <c r="N92" s="6"/>
    </row>
    <row r="97" spans="11:14" ht="15.6" x14ac:dyDescent="0.3">
      <c r="K97" s="6"/>
      <c r="L97" s="12"/>
      <c r="M97" s="6"/>
      <c r="N97" s="6"/>
    </row>
    <row r="102" spans="11:14" ht="15.6" x14ac:dyDescent="0.3">
      <c r="K102" s="6"/>
      <c r="L102" s="12"/>
      <c r="M102" s="6"/>
      <c r="N102" s="6"/>
    </row>
    <row r="107" spans="11:14" ht="15.6" x14ac:dyDescent="0.3">
      <c r="K107" s="6"/>
      <c r="L107" s="12"/>
      <c r="M107" s="6"/>
      <c r="N107" s="6"/>
    </row>
  </sheetData>
  <sheetProtection algorithmName="SHA-512" hashValue="uDHdaD5iR5/6QnCSZYBnKBi1K1FWGEBxO0sgpIUPBPBuyFtjKwUnjlxvwZwU2EhJclK/wLrDU9tOf/6biE+NhQ==" saltValue="aWxQ5ZxRMsLYvRuyI15MPg==" spinCount="100000" sheet="1" objects="1" scenarios="1"/>
  <phoneticPr fontId="15" type="noConversion"/>
  <pageMargins left="0.7" right="0.7" top="0.75" bottom="0.75" header="0.3" footer="0.3"/>
  <pageSetup orientation="portrait" r:id="rId1"/>
  <headerFooter>
    <oddHeader>&amp;L&amp;"-,Bold"&amp;15Design &amp; Analysis of IPMSM using FEM&amp;R&amp;12- By Mohana Segaran B
[immohanasegaran30@gmail.com]</oddHeader>
    <oddFooter>&amp;L&amp;12This work is licensed under the Creative Commons Attribution 4.0 International License. To view a copy of this license, visit https://creativecommons.org/licenses/by/4.0/.
Copyright © 2025 Mohana Segaran B.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B16E18-B890-4D58-BE22-F6229880F960}">
  <sheetPr codeName="Sheet3"/>
  <dimension ref="A1:I69"/>
  <sheetViews>
    <sheetView topLeftCell="A11" zoomScale="130" zoomScaleNormal="130" workbookViewId="0">
      <selection activeCell="F11" sqref="F11"/>
    </sheetView>
  </sheetViews>
  <sheetFormatPr defaultRowHeight="14.4" x14ac:dyDescent="0.3"/>
  <cols>
    <col min="1" max="1" width="17.109375" customWidth="1"/>
    <col min="2" max="2" width="17.6640625" bestFit="1" customWidth="1"/>
    <col min="3" max="3" width="14.44140625" bestFit="1" customWidth="1"/>
    <col min="4" max="4" width="3.77734375" style="7" customWidth="1"/>
    <col min="5" max="5" width="24.5546875" customWidth="1"/>
    <col min="6" max="6" width="12.6640625" bestFit="1" customWidth="1"/>
    <col min="7" max="7" width="6.77734375" bestFit="1" customWidth="1"/>
    <col min="8" max="8" width="31.109375" bestFit="1" customWidth="1"/>
    <col min="9" max="9" width="4" style="7" customWidth="1"/>
  </cols>
  <sheetData>
    <row r="1" spans="1:9" s="41" customFormat="1" ht="21" x14ac:dyDescent="0.4">
      <c r="A1" s="40" t="s">
        <v>315</v>
      </c>
      <c r="D1" s="42"/>
      <c r="E1" s="43" t="s">
        <v>204</v>
      </c>
      <c r="I1" s="42"/>
    </row>
    <row r="2" spans="1:9" s="58" customFormat="1" ht="18" x14ac:dyDescent="0.35">
      <c r="A2" s="56" t="s">
        <v>201</v>
      </c>
      <c r="B2" s="56" t="s">
        <v>202</v>
      </c>
      <c r="C2" s="56" t="s">
        <v>203</v>
      </c>
      <c r="D2" s="57"/>
      <c r="E2" s="56" t="s">
        <v>0</v>
      </c>
      <c r="F2" s="56" t="s">
        <v>1</v>
      </c>
      <c r="G2" s="56" t="s">
        <v>13</v>
      </c>
      <c r="H2" s="56" t="s">
        <v>3</v>
      </c>
      <c r="I2" s="57"/>
    </row>
    <row r="3" spans="1:9" ht="15.6" x14ac:dyDescent="0.3">
      <c r="A3" s="6" t="s">
        <v>205</v>
      </c>
      <c r="B3" s="6">
        <v>12.7</v>
      </c>
      <c r="C3" s="6">
        <v>126.67686999999999</v>
      </c>
      <c r="D3" s="18"/>
      <c r="E3" s="6" t="s">
        <v>211</v>
      </c>
      <c r="F3" s="72">
        <f>Main_dimensions!G20</f>
        <v>6.4251103649052066</v>
      </c>
      <c r="G3" s="6" t="s">
        <v>131</v>
      </c>
      <c r="H3" s="6" t="s">
        <v>212</v>
      </c>
    </row>
    <row r="4" spans="1:9" ht="15.6" x14ac:dyDescent="0.3">
      <c r="A4" s="6" t="s">
        <v>206</v>
      </c>
      <c r="B4" s="6">
        <v>11.786</v>
      </c>
      <c r="C4" s="6">
        <v>109.0921</v>
      </c>
      <c r="D4" s="18"/>
      <c r="E4" s="6" t="s">
        <v>213</v>
      </c>
      <c r="F4" s="6">
        <v>1</v>
      </c>
      <c r="G4" s="6"/>
      <c r="H4" s="6" t="s">
        <v>214</v>
      </c>
    </row>
    <row r="5" spans="1:9" ht="15.6" x14ac:dyDescent="0.3">
      <c r="A5" s="6" t="s">
        <v>207</v>
      </c>
      <c r="B5" s="6">
        <v>10.973000000000001</v>
      </c>
      <c r="C5" s="6">
        <v>94.563800000000001</v>
      </c>
      <c r="D5" s="18"/>
      <c r="E5" s="6" t="s">
        <v>201</v>
      </c>
      <c r="F5" s="6">
        <f>INDEX(A3:A59,MATCH(F3,C3:C59,-1))</f>
        <v>11</v>
      </c>
      <c r="G5" s="6"/>
      <c r="H5" s="6" t="s">
        <v>292</v>
      </c>
    </row>
    <row r="6" spans="1:9" ht="15.6" x14ac:dyDescent="0.3">
      <c r="A6" s="6" t="s">
        <v>208</v>
      </c>
      <c r="B6" s="6">
        <v>10.16</v>
      </c>
      <c r="C6" s="6">
        <v>81.0732</v>
      </c>
      <c r="D6" s="18"/>
      <c r="E6" s="6" t="s">
        <v>215</v>
      </c>
      <c r="F6" s="72">
        <f>INDEX(B3:B59,MATCH(F5,A3:A59,0))</f>
        <v>2.9460000000000002</v>
      </c>
      <c r="G6" s="6" t="s">
        <v>78</v>
      </c>
      <c r="H6" s="6"/>
    </row>
    <row r="7" spans="1:9" ht="15.6" x14ac:dyDescent="0.3">
      <c r="A7" s="6" t="s">
        <v>209</v>
      </c>
      <c r="B7" s="6">
        <v>9.4489999999999998</v>
      </c>
      <c r="C7" s="6">
        <v>70.120199999999997</v>
      </c>
      <c r="D7" s="18"/>
      <c r="E7" s="6" t="s">
        <v>216</v>
      </c>
      <c r="F7" s="6">
        <f>INDEX(C3:C59,MATCH(F5,A3:A59,0))</f>
        <v>6.8182999999999998</v>
      </c>
      <c r="G7" s="6" t="s">
        <v>131</v>
      </c>
      <c r="H7" s="6"/>
    </row>
    <row r="8" spans="1:9" ht="15.6" x14ac:dyDescent="0.3">
      <c r="A8" s="6" t="s">
        <v>210</v>
      </c>
      <c r="B8" s="6">
        <v>8.8390000000000004</v>
      </c>
      <c r="C8" s="6">
        <v>61.3643</v>
      </c>
      <c r="D8" s="18"/>
      <c r="E8" s="6"/>
      <c r="F8" s="6"/>
      <c r="G8" s="6"/>
      <c r="H8" s="6"/>
    </row>
    <row r="9" spans="1:9" ht="15.6" x14ac:dyDescent="0.3">
      <c r="A9" s="6">
        <v>0</v>
      </c>
      <c r="B9" s="6">
        <v>8.23</v>
      </c>
      <c r="C9" s="6">
        <v>53.192100000000003</v>
      </c>
      <c r="D9" s="18"/>
      <c r="E9" s="6"/>
      <c r="F9" s="6"/>
      <c r="G9" s="6"/>
      <c r="H9" s="6"/>
    </row>
    <row r="10" spans="1:9" ht="15.6" x14ac:dyDescent="0.3">
      <c r="A10" s="6">
        <v>1</v>
      </c>
      <c r="B10" s="6">
        <v>7.62</v>
      </c>
      <c r="C10" s="6">
        <v>45.603700000000003</v>
      </c>
      <c r="D10" s="18"/>
      <c r="E10" s="6"/>
      <c r="F10" s="6"/>
      <c r="G10" s="6"/>
      <c r="H10" s="6"/>
    </row>
    <row r="11" spans="1:9" ht="15.6" x14ac:dyDescent="0.3">
      <c r="A11" s="6">
        <v>2</v>
      </c>
      <c r="B11" s="6">
        <v>7.01</v>
      </c>
      <c r="C11" s="6">
        <v>38.5989</v>
      </c>
      <c r="D11" s="18"/>
      <c r="E11" s="6"/>
      <c r="F11" s="6"/>
      <c r="G11" s="6"/>
      <c r="H11" s="6"/>
    </row>
    <row r="12" spans="1:9" ht="15.6" x14ac:dyDescent="0.3">
      <c r="A12" s="6">
        <v>3</v>
      </c>
      <c r="B12" s="6">
        <v>6.4009999999999998</v>
      </c>
      <c r="C12" s="6">
        <v>32.177999999999997</v>
      </c>
      <c r="D12" s="18"/>
      <c r="E12" s="6"/>
      <c r="F12" s="6"/>
      <c r="G12" s="6"/>
      <c r="H12" s="6"/>
    </row>
    <row r="13" spans="1:9" ht="15.6" x14ac:dyDescent="0.3">
      <c r="A13" s="6">
        <v>4</v>
      </c>
      <c r="B13" s="6">
        <v>5.8929999999999998</v>
      </c>
      <c r="C13" s="6">
        <v>27.273</v>
      </c>
      <c r="D13" s="18"/>
      <c r="E13" s="6"/>
      <c r="F13" s="6"/>
      <c r="G13" s="6"/>
      <c r="H13" s="6"/>
    </row>
    <row r="14" spans="1:9" ht="15.6" x14ac:dyDescent="0.3">
      <c r="A14" s="6">
        <v>5</v>
      </c>
      <c r="B14" s="6">
        <v>5.3849999999999998</v>
      </c>
      <c r="C14" s="6">
        <v>22.773499999999999</v>
      </c>
      <c r="D14" s="18"/>
      <c r="E14" s="6"/>
      <c r="F14" s="6"/>
      <c r="G14" s="6"/>
      <c r="H14" s="6"/>
    </row>
    <row r="15" spans="1:9" ht="15.6" x14ac:dyDescent="0.3">
      <c r="A15" s="6">
        <v>6</v>
      </c>
      <c r="B15" s="6">
        <v>4.8769999999999998</v>
      </c>
      <c r="C15" s="6">
        <v>18.679300000000001</v>
      </c>
      <c r="D15" s="18"/>
      <c r="E15" s="6"/>
      <c r="F15" s="6"/>
      <c r="G15" s="6"/>
      <c r="H15" s="6"/>
    </row>
    <row r="16" spans="1:9" ht="15.6" x14ac:dyDescent="0.3">
      <c r="A16" s="6">
        <v>7</v>
      </c>
      <c r="B16" s="6">
        <v>4.47</v>
      </c>
      <c r="C16" s="6">
        <v>15.6958</v>
      </c>
      <c r="D16" s="18"/>
      <c r="E16" s="6"/>
      <c r="F16" s="6"/>
      <c r="G16" s="6"/>
      <c r="H16" s="6"/>
    </row>
    <row r="17" spans="1:8" ht="15.6" x14ac:dyDescent="0.3">
      <c r="A17" s="6">
        <v>8</v>
      </c>
      <c r="B17" s="6">
        <v>4.0640000000000001</v>
      </c>
      <c r="C17" s="6">
        <v>12.9717</v>
      </c>
      <c r="D17" s="18"/>
      <c r="E17" s="6"/>
      <c r="F17" s="6"/>
      <c r="G17" s="6"/>
      <c r="H17" s="6"/>
    </row>
    <row r="18" spans="1:8" ht="15.6" x14ac:dyDescent="0.3">
      <c r="A18" s="6">
        <v>9</v>
      </c>
      <c r="B18" s="6">
        <v>3.6579999999999999</v>
      </c>
      <c r="C18" s="6">
        <v>10.507099999999999</v>
      </c>
      <c r="D18" s="18"/>
      <c r="E18" s="6"/>
      <c r="F18" s="6"/>
      <c r="G18" s="6"/>
      <c r="H18" s="6"/>
    </row>
    <row r="19" spans="1:8" ht="15.6" x14ac:dyDescent="0.3">
      <c r="A19" s="6">
        <v>10</v>
      </c>
      <c r="B19" s="6">
        <v>3.2509999999999999</v>
      </c>
      <c r="C19" s="6">
        <v>8.3018999999999998</v>
      </c>
      <c r="D19" s="18"/>
      <c r="E19" s="6"/>
      <c r="F19" s="6"/>
      <c r="G19" s="6"/>
      <c r="H19" s="6"/>
    </row>
    <row r="20" spans="1:8" ht="15.6" x14ac:dyDescent="0.3">
      <c r="A20" s="6">
        <v>11</v>
      </c>
      <c r="B20" s="6">
        <v>2.9460000000000002</v>
      </c>
      <c r="C20" s="6">
        <v>6.8182999999999998</v>
      </c>
      <c r="D20" s="18"/>
      <c r="E20" s="6"/>
      <c r="F20" s="6"/>
      <c r="G20" s="6"/>
      <c r="H20" s="6"/>
    </row>
    <row r="21" spans="1:8" ht="15.6" x14ac:dyDescent="0.3">
      <c r="A21" s="6">
        <v>12</v>
      </c>
      <c r="B21" s="6">
        <v>2.6419999999999999</v>
      </c>
      <c r="C21" s="6">
        <v>5.4805000000000001</v>
      </c>
      <c r="D21" s="18"/>
      <c r="E21" s="6"/>
      <c r="F21" s="6"/>
      <c r="G21" s="6"/>
      <c r="H21" s="6"/>
    </row>
    <row r="22" spans="1:8" ht="15.6" x14ac:dyDescent="0.3">
      <c r="A22" s="6">
        <v>13</v>
      </c>
      <c r="B22" s="6">
        <v>2.3370000000000002</v>
      </c>
      <c r="C22" s="6">
        <v>4.2888000000000002</v>
      </c>
      <c r="D22" s="18"/>
      <c r="E22" s="6"/>
      <c r="F22" s="6"/>
      <c r="G22" s="6"/>
      <c r="H22" s="6"/>
    </row>
    <row r="23" spans="1:8" ht="15.6" x14ac:dyDescent="0.3">
      <c r="A23" s="6">
        <v>14</v>
      </c>
      <c r="B23" s="6">
        <v>2.032</v>
      </c>
      <c r="C23" s="6">
        <v>3.2429000000000001</v>
      </c>
      <c r="D23" s="18"/>
      <c r="E23" s="6"/>
      <c r="F23" s="6"/>
      <c r="G23" s="6"/>
      <c r="H23" s="6"/>
    </row>
    <row r="24" spans="1:8" ht="15.6" x14ac:dyDescent="0.3">
      <c r="A24" s="6">
        <v>15</v>
      </c>
      <c r="B24" s="6">
        <v>1.829</v>
      </c>
      <c r="C24" s="6">
        <v>2.6267999999999998</v>
      </c>
      <c r="D24" s="18"/>
      <c r="E24" s="6"/>
      <c r="F24" s="6"/>
      <c r="G24" s="6"/>
      <c r="H24" s="6"/>
    </row>
    <row r="25" spans="1:8" ht="15.6" x14ac:dyDescent="0.3">
      <c r="A25" s="6">
        <v>16</v>
      </c>
      <c r="B25" s="6">
        <v>1.6259999999999999</v>
      </c>
      <c r="C25" s="6">
        <v>2.0754999999999999</v>
      </c>
      <c r="D25" s="18"/>
      <c r="E25" s="6"/>
      <c r="F25" s="6"/>
      <c r="G25" s="6"/>
      <c r="H25" s="6"/>
    </row>
    <row r="26" spans="1:8" ht="15.6" x14ac:dyDescent="0.3">
      <c r="A26" s="6">
        <v>17</v>
      </c>
      <c r="B26" s="6">
        <v>1.4219999999999999</v>
      </c>
      <c r="C26" s="6">
        <v>1.589</v>
      </c>
      <c r="D26" s="18"/>
      <c r="E26" s="6"/>
      <c r="F26" s="6"/>
      <c r="G26" s="6"/>
      <c r="H26" s="6"/>
    </row>
    <row r="27" spans="1:8" ht="15.6" x14ac:dyDescent="0.3">
      <c r="A27" s="6">
        <v>18</v>
      </c>
      <c r="B27" s="6">
        <v>1.2190000000000001</v>
      </c>
      <c r="C27" s="6">
        <v>1.1675</v>
      </c>
      <c r="D27" s="18"/>
      <c r="E27" s="6"/>
      <c r="F27" s="6"/>
      <c r="G27" s="6"/>
      <c r="H27" s="6"/>
    </row>
    <row r="28" spans="1:8" ht="15.6" x14ac:dyDescent="0.3">
      <c r="A28" s="6">
        <v>19</v>
      </c>
      <c r="B28" s="6">
        <v>1.016</v>
      </c>
      <c r="C28" s="6">
        <v>0.81069999999999998</v>
      </c>
      <c r="D28" s="18"/>
      <c r="E28" s="6"/>
      <c r="F28" s="6"/>
      <c r="G28" s="6"/>
      <c r="H28" s="6"/>
    </row>
    <row r="29" spans="1:8" ht="15.6" x14ac:dyDescent="0.3">
      <c r="A29" s="6">
        <v>20</v>
      </c>
      <c r="B29" s="6">
        <v>0.91400000000000003</v>
      </c>
      <c r="C29" s="6">
        <v>0.65669999999999995</v>
      </c>
      <c r="D29" s="18"/>
      <c r="E29" s="6"/>
      <c r="F29" s="6"/>
      <c r="G29" s="6"/>
      <c r="H29" s="6"/>
    </row>
    <row r="30" spans="1:8" ht="15.6" x14ac:dyDescent="0.3">
      <c r="A30" s="6">
        <v>21</v>
      </c>
      <c r="B30" s="6">
        <v>0.81299999999999994</v>
      </c>
      <c r="C30" s="6">
        <v>0.51890000000000003</v>
      </c>
      <c r="D30" s="18"/>
      <c r="E30" s="6"/>
      <c r="F30" s="6"/>
      <c r="G30" s="6"/>
      <c r="H30" s="6"/>
    </row>
    <row r="31" spans="1:8" ht="15.6" x14ac:dyDescent="0.3">
      <c r="A31" s="6">
        <v>22</v>
      </c>
      <c r="B31" s="6">
        <v>0.71099999999999997</v>
      </c>
      <c r="C31" s="6">
        <v>0.39729999999999999</v>
      </c>
      <c r="D31" s="18"/>
      <c r="E31" s="6"/>
      <c r="F31" s="6"/>
      <c r="G31" s="6"/>
      <c r="H31" s="6"/>
    </row>
    <row r="32" spans="1:8" ht="15.6" x14ac:dyDescent="0.3">
      <c r="A32" s="6">
        <v>23</v>
      </c>
      <c r="B32" s="6">
        <v>0.61</v>
      </c>
      <c r="C32" s="6">
        <v>0.29189999999999999</v>
      </c>
      <c r="D32" s="18"/>
      <c r="E32" s="6"/>
      <c r="F32" s="6"/>
      <c r="G32" s="6"/>
      <c r="H32" s="6"/>
    </row>
    <row r="33" spans="1:8" ht="15.6" x14ac:dyDescent="0.3">
      <c r="A33" s="6">
        <v>24</v>
      </c>
      <c r="B33" s="6">
        <v>0.55900000000000005</v>
      </c>
      <c r="C33" s="6">
        <v>0.2452</v>
      </c>
      <c r="D33" s="18"/>
      <c r="E33" s="6"/>
      <c r="F33" s="6"/>
      <c r="G33" s="6"/>
      <c r="H33" s="6"/>
    </row>
    <row r="34" spans="1:8" ht="15.6" x14ac:dyDescent="0.3">
      <c r="A34" s="6">
        <v>25</v>
      </c>
      <c r="B34" s="6">
        <v>0.50800000000000001</v>
      </c>
      <c r="C34" s="6">
        <v>0.20269999999999999</v>
      </c>
      <c r="D34" s="18"/>
      <c r="E34" s="6"/>
      <c r="F34" s="6"/>
      <c r="G34" s="6"/>
      <c r="H34" s="6"/>
    </row>
    <row r="35" spans="1:8" ht="15.6" x14ac:dyDescent="0.3">
      <c r="A35" s="6">
        <v>26</v>
      </c>
      <c r="B35" s="6">
        <v>0.4572</v>
      </c>
      <c r="C35" s="6">
        <v>0.16420000000000001</v>
      </c>
      <c r="D35" s="18"/>
      <c r="E35" s="6"/>
      <c r="F35" s="6"/>
      <c r="G35" s="6"/>
      <c r="H35" s="6"/>
    </row>
    <row r="36" spans="1:8" ht="15.6" x14ac:dyDescent="0.3">
      <c r="A36" s="6">
        <v>27</v>
      </c>
      <c r="B36" s="6">
        <v>0.41660000000000003</v>
      </c>
      <c r="C36" s="6">
        <v>0.1363</v>
      </c>
      <c r="D36" s="18"/>
      <c r="E36" s="6"/>
      <c r="F36" s="6"/>
      <c r="G36" s="6"/>
      <c r="H36" s="6"/>
    </row>
    <row r="37" spans="1:8" ht="15.6" x14ac:dyDescent="0.3">
      <c r="A37" s="6">
        <v>28</v>
      </c>
      <c r="B37" s="6">
        <v>0.37590000000000001</v>
      </c>
      <c r="C37" s="6">
        <v>0.111</v>
      </c>
      <c r="D37" s="18"/>
      <c r="E37" s="6"/>
      <c r="F37" s="6"/>
      <c r="G37" s="6"/>
      <c r="H37" s="6"/>
    </row>
    <row r="38" spans="1:8" ht="15.6" x14ac:dyDescent="0.3">
      <c r="A38" s="6">
        <v>29</v>
      </c>
      <c r="B38" s="6">
        <v>0.34539999999999998</v>
      </c>
      <c r="C38" s="6">
        <v>9.3700000000000006E-2</v>
      </c>
      <c r="D38" s="18"/>
      <c r="E38" s="6"/>
      <c r="F38" s="6"/>
      <c r="G38" s="6"/>
      <c r="H38" s="6"/>
    </row>
    <row r="39" spans="1:8" ht="15.6" x14ac:dyDescent="0.3">
      <c r="A39" s="6">
        <v>30</v>
      </c>
      <c r="B39" s="6">
        <v>0.315</v>
      </c>
      <c r="C39" s="6">
        <v>7.7899999999999997E-2</v>
      </c>
      <c r="D39" s="18"/>
      <c r="E39" s="6"/>
      <c r="F39" s="6"/>
      <c r="G39" s="6"/>
      <c r="H39" s="6"/>
    </row>
    <row r="40" spans="1:8" ht="15.6" x14ac:dyDescent="0.3">
      <c r="A40" s="6">
        <v>31</v>
      </c>
      <c r="B40" s="6">
        <v>0.29459999999999997</v>
      </c>
      <c r="C40" s="6">
        <v>6.8199999999999997E-2</v>
      </c>
      <c r="D40" s="18"/>
      <c r="E40" s="6"/>
      <c r="F40" s="6"/>
      <c r="G40" s="6"/>
      <c r="H40" s="6"/>
    </row>
    <row r="41" spans="1:8" ht="15.6" x14ac:dyDescent="0.3">
      <c r="A41" s="6">
        <v>32</v>
      </c>
      <c r="B41" s="6">
        <v>0.27429999999999999</v>
      </c>
      <c r="C41" s="6">
        <v>5.91E-2</v>
      </c>
      <c r="D41" s="18"/>
      <c r="E41" s="6"/>
      <c r="F41" s="6"/>
      <c r="G41" s="6"/>
      <c r="H41" s="6"/>
    </row>
    <row r="42" spans="1:8" ht="15.6" x14ac:dyDescent="0.3">
      <c r="A42" s="6">
        <v>33</v>
      </c>
      <c r="B42" s="6">
        <v>0.254</v>
      </c>
      <c r="C42" s="6">
        <v>5.0700000000000002E-2</v>
      </c>
      <c r="D42" s="18"/>
      <c r="E42" s="6"/>
      <c r="F42" s="6"/>
      <c r="G42" s="6"/>
      <c r="H42" s="6"/>
    </row>
    <row r="43" spans="1:8" ht="15.6" x14ac:dyDescent="0.3">
      <c r="A43" s="6">
        <v>34</v>
      </c>
      <c r="B43" s="6">
        <v>0.23369999999999999</v>
      </c>
      <c r="C43" s="6">
        <v>4.2900000000000001E-2</v>
      </c>
      <c r="D43" s="18"/>
      <c r="E43" s="6"/>
      <c r="F43" s="6"/>
      <c r="G43" s="6"/>
      <c r="H43" s="6"/>
    </row>
    <row r="44" spans="1:8" ht="15.6" x14ac:dyDescent="0.3">
      <c r="A44" s="6">
        <v>35</v>
      </c>
      <c r="B44" s="6">
        <v>0.21340000000000001</v>
      </c>
      <c r="C44" s="6">
        <v>3.5799999999999998E-2</v>
      </c>
      <c r="D44" s="18"/>
      <c r="E44" s="6"/>
      <c r="F44" s="6"/>
      <c r="G44" s="6"/>
      <c r="H44" s="6"/>
    </row>
    <row r="45" spans="1:8" ht="15.6" x14ac:dyDescent="0.3">
      <c r="A45" s="6">
        <v>36</v>
      </c>
      <c r="B45" s="6">
        <v>0.193</v>
      </c>
      <c r="C45" s="6">
        <v>2.93E-2</v>
      </c>
      <c r="D45" s="18"/>
      <c r="E45" s="6"/>
      <c r="F45" s="6"/>
      <c r="G45" s="6"/>
      <c r="H45" s="6"/>
    </row>
    <row r="46" spans="1:8" ht="15.6" x14ac:dyDescent="0.3">
      <c r="A46" s="6">
        <v>37</v>
      </c>
      <c r="B46" s="6">
        <v>0.17269999999999999</v>
      </c>
      <c r="C46" s="6">
        <v>2.3400000000000001E-2</v>
      </c>
      <c r="D46" s="18"/>
      <c r="E46" s="6"/>
      <c r="F46" s="6"/>
      <c r="G46" s="6"/>
      <c r="H46" s="6"/>
    </row>
    <row r="47" spans="1:8" ht="15.6" x14ac:dyDescent="0.3">
      <c r="A47" s="6">
        <v>38</v>
      </c>
      <c r="B47" s="6">
        <v>0.15240000000000001</v>
      </c>
      <c r="C47" s="6">
        <v>1.8200000000000001E-2</v>
      </c>
      <c r="D47" s="18"/>
      <c r="E47" s="6"/>
      <c r="F47" s="6"/>
      <c r="G47" s="6"/>
      <c r="H47" s="6"/>
    </row>
    <row r="48" spans="1:8" ht="15.6" x14ac:dyDescent="0.3">
      <c r="A48" s="6">
        <v>39</v>
      </c>
      <c r="B48" s="6">
        <v>0.1321</v>
      </c>
      <c r="C48" s="6">
        <v>1.37E-2</v>
      </c>
      <c r="D48" s="18"/>
      <c r="E48" s="6"/>
      <c r="F48" s="6"/>
      <c r="G48" s="6"/>
      <c r="H48" s="6"/>
    </row>
    <row r="49" spans="1:8" ht="15.6" x14ac:dyDescent="0.3">
      <c r="A49" s="6">
        <v>40</v>
      </c>
      <c r="B49" s="6">
        <v>0.12189999999999999</v>
      </c>
      <c r="C49" s="6">
        <v>1.17E-2</v>
      </c>
      <c r="D49" s="18"/>
      <c r="E49" s="6"/>
      <c r="F49" s="6"/>
      <c r="G49" s="6"/>
      <c r="H49" s="6"/>
    </row>
    <row r="50" spans="1:8" ht="15.6" x14ac:dyDescent="0.3">
      <c r="A50" s="6">
        <v>41</v>
      </c>
      <c r="B50" s="6">
        <v>0.1118</v>
      </c>
      <c r="C50" s="6">
        <v>9.7999999999999997E-3</v>
      </c>
      <c r="D50" s="18"/>
      <c r="E50" s="6"/>
      <c r="F50" s="6"/>
      <c r="G50" s="6"/>
      <c r="H50" s="6"/>
    </row>
    <row r="51" spans="1:8" ht="15.6" x14ac:dyDescent="0.3">
      <c r="A51" s="6">
        <v>42</v>
      </c>
      <c r="B51" s="6">
        <v>0.1016</v>
      </c>
      <c r="C51" s="6">
        <v>8.0999999999999996E-3</v>
      </c>
      <c r="D51" s="18"/>
      <c r="E51" s="6"/>
      <c r="F51" s="6"/>
      <c r="G51" s="6"/>
      <c r="H51" s="6"/>
    </row>
    <row r="52" spans="1:8" ht="15.6" x14ac:dyDescent="0.3">
      <c r="A52" s="6">
        <v>43</v>
      </c>
      <c r="B52" s="6">
        <v>9.1399999999999995E-2</v>
      </c>
      <c r="C52" s="6">
        <v>6.6E-3</v>
      </c>
      <c r="D52" s="18"/>
      <c r="E52" s="6"/>
      <c r="F52" s="6"/>
      <c r="G52" s="6"/>
      <c r="H52" s="6"/>
    </row>
    <row r="53" spans="1:8" ht="15.6" x14ac:dyDescent="0.3">
      <c r="A53" s="6">
        <v>44</v>
      </c>
      <c r="B53" s="6">
        <v>8.1299999999999997E-2</v>
      </c>
      <c r="C53" s="6">
        <v>5.1999999999999998E-3</v>
      </c>
      <c r="D53" s="18"/>
      <c r="E53" s="6"/>
      <c r="F53" s="6"/>
      <c r="G53" s="6"/>
      <c r="H53" s="6"/>
    </row>
    <row r="54" spans="1:8" ht="15.6" x14ac:dyDescent="0.3">
      <c r="A54" s="6">
        <v>45</v>
      </c>
      <c r="B54" s="6">
        <v>7.1099999999999997E-2</v>
      </c>
      <c r="C54" s="6">
        <v>4.0000000000000001E-3</v>
      </c>
      <c r="D54" s="18"/>
      <c r="E54" s="6"/>
      <c r="F54" s="6"/>
      <c r="G54" s="6"/>
      <c r="H54" s="6"/>
    </row>
    <row r="55" spans="1:8" ht="15.6" x14ac:dyDescent="0.3">
      <c r="A55" s="6">
        <v>46</v>
      </c>
      <c r="B55" s="6">
        <v>6.0999999999999999E-2</v>
      </c>
      <c r="C55" s="6">
        <v>2.8999999999999998E-3</v>
      </c>
      <c r="D55" s="18"/>
      <c r="E55" s="6"/>
      <c r="F55" s="6"/>
      <c r="G55" s="6"/>
      <c r="H55" s="6"/>
    </row>
    <row r="56" spans="1:8" ht="15.6" x14ac:dyDescent="0.3">
      <c r="A56" s="6">
        <v>47</v>
      </c>
      <c r="B56" s="6">
        <v>5.0799999999999998E-2</v>
      </c>
      <c r="C56" s="6">
        <v>2E-3</v>
      </c>
      <c r="D56" s="18"/>
      <c r="E56" s="6"/>
      <c r="F56" s="6"/>
      <c r="G56" s="6"/>
      <c r="H56" s="6"/>
    </row>
    <row r="57" spans="1:8" ht="15.6" x14ac:dyDescent="0.3">
      <c r="A57" s="6">
        <v>48</v>
      </c>
      <c r="B57" s="6">
        <v>4.0599999999999997E-2</v>
      </c>
      <c r="C57" s="6">
        <v>1.2999999999999999E-3</v>
      </c>
      <c r="D57" s="18"/>
      <c r="E57" s="6"/>
      <c r="F57" s="6"/>
      <c r="G57" s="6"/>
      <c r="H57" s="6"/>
    </row>
    <row r="58" spans="1:8" ht="15.6" x14ac:dyDescent="0.3">
      <c r="A58" s="6">
        <v>49</v>
      </c>
      <c r="B58" s="6">
        <v>3.0499999999999999E-2</v>
      </c>
      <c r="C58" s="6">
        <v>6.9999999999999999E-4</v>
      </c>
      <c r="D58" s="18"/>
      <c r="E58" s="6"/>
      <c r="F58" s="6"/>
      <c r="G58" s="6"/>
      <c r="H58" s="6"/>
    </row>
    <row r="59" spans="1:8" ht="15.6" x14ac:dyDescent="0.3">
      <c r="A59" s="6">
        <v>50</v>
      </c>
      <c r="B59" s="6">
        <v>2.5399999999999999E-2</v>
      </c>
      <c r="C59" s="6">
        <v>5.0000000000000001E-4</v>
      </c>
      <c r="D59" s="18"/>
      <c r="E59" s="6"/>
      <c r="F59" s="6"/>
      <c r="G59" s="6"/>
      <c r="H59" s="6"/>
    </row>
    <row r="60" spans="1:8" ht="15.6" x14ac:dyDescent="0.3">
      <c r="A60" s="6"/>
      <c r="B60" s="6"/>
      <c r="C60" s="6"/>
      <c r="D60" s="18"/>
      <c r="E60" s="6"/>
      <c r="F60" s="6"/>
      <c r="G60" s="6"/>
      <c r="H60" s="6"/>
    </row>
    <row r="61" spans="1:8" ht="15.6" x14ac:dyDescent="0.3">
      <c r="A61" s="6"/>
      <c r="B61" s="6"/>
      <c r="C61" s="6"/>
      <c r="D61" s="18"/>
      <c r="E61" s="6"/>
      <c r="F61" s="6"/>
      <c r="G61" s="6"/>
      <c r="H61" s="6"/>
    </row>
    <row r="62" spans="1:8" ht="15.6" x14ac:dyDescent="0.3">
      <c r="A62" s="6"/>
      <c r="B62" s="6"/>
      <c r="C62" s="6"/>
      <c r="D62" s="18"/>
      <c r="E62" s="6"/>
      <c r="F62" s="6"/>
      <c r="G62" s="6"/>
      <c r="H62" s="6"/>
    </row>
    <row r="63" spans="1:8" ht="15.6" x14ac:dyDescent="0.3">
      <c r="A63" s="6"/>
      <c r="B63" s="6"/>
      <c r="C63" s="6"/>
      <c r="D63" s="18"/>
      <c r="E63" s="6"/>
      <c r="F63" s="6"/>
      <c r="G63" s="6"/>
      <c r="H63" s="6"/>
    </row>
    <row r="64" spans="1:8" ht="15.6" x14ac:dyDescent="0.3">
      <c r="A64" s="6"/>
      <c r="B64" s="6"/>
      <c r="C64" s="6"/>
      <c r="D64" s="18"/>
      <c r="E64" s="6"/>
      <c r="F64" s="6"/>
      <c r="G64" s="6"/>
      <c r="H64" s="6"/>
    </row>
    <row r="65" spans="1:8" ht="15.6" x14ac:dyDescent="0.3">
      <c r="A65" s="6"/>
      <c r="B65" s="6"/>
      <c r="C65" s="6"/>
      <c r="D65" s="18"/>
      <c r="E65" s="6"/>
      <c r="F65" s="6"/>
      <c r="G65" s="6"/>
      <c r="H65" s="6"/>
    </row>
    <row r="66" spans="1:8" ht="15.6" x14ac:dyDescent="0.3">
      <c r="A66" s="6"/>
      <c r="B66" s="6"/>
      <c r="C66" s="6"/>
      <c r="D66" s="18"/>
      <c r="E66" s="6"/>
      <c r="F66" s="6"/>
      <c r="G66" s="6"/>
      <c r="H66" s="6"/>
    </row>
    <row r="67" spans="1:8" ht="15.6" x14ac:dyDescent="0.3">
      <c r="A67" s="6"/>
      <c r="B67" s="6"/>
      <c r="C67" s="6"/>
      <c r="D67" s="18"/>
      <c r="E67" s="6"/>
      <c r="F67" s="6"/>
      <c r="G67" s="6"/>
      <c r="H67" s="6"/>
    </row>
    <row r="68" spans="1:8" ht="15.6" x14ac:dyDescent="0.3">
      <c r="A68" s="6"/>
      <c r="B68" s="6"/>
      <c r="C68" s="6"/>
      <c r="D68" s="18"/>
      <c r="E68" s="6"/>
      <c r="F68" s="6"/>
      <c r="G68" s="6"/>
      <c r="H68" s="6"/>
    </row>
    <row r="69" spans="1:8" ht="15.6" x14ac:dyDescent="0.3">
      <c r="A69" s="6"/>
      <c r="B69" s="6"/>
      <c r="C69" s="6"/>
      <c r="D69" s="18"/>
      <c r="E69" s="6"/>
      <c r="F69" s="6"/>
      <c r="G69" s="6"/>
      <c r="H69" s="6"/>
    </row>
  </sheetData>
  <sheetProtection algorithmName="SHA-512" hashValue="YDtC3FKlmzjwQLakMcz5x4rmP5C0jBzi3CZ0rDYxngnyv2vjOig/jHLHSVVx3MywBk8n2GyA0uMgIliPf5arYg==" saltValue="z18t4hO3BocBZywy3XSnag==" spinCount="100000" sheet="1" objects="1" scenarios="1"/>
  <pageMargins left="0.7" right="0.7" top="0.75" bottom="0.75" header="0.3" footer="0.3"/>
  <pageSetup orientation="portrait" r:id="rId1"/>
  <headerFooter>
    <oddHeader xml:space="preserve">&amp;L&amp;"-,Bold"&amp;15Design &amp; Analysis of IPMSM using FEM&amp;R&amp;12- By Mohana Segaran B
[immohanasegaran30@gmail.com]
</oddHeader>
    <oddFooter>&amp;L&amp;12This work is licensed under the Creative Commons Attribution 4.0 International License. To view a copy of this license, visit https://creativecommons.org/licenses/by/4.0/.
Copyright © 2025 Mohana Segaran B.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9AFEB-AEAD-407A-BDE3-41C6E170D6BC}">
  <sheetPr codeName="Sheet4"/>
  <dimension ref="A1:H21"/>
  <sheetViews>
    <sheetView topLeftCell="A12" zoomScale="130" zoomScaleNormal="130" workbookViewId="0">
      <selection activeCell="F12" sqref="F12"/>
    </sheetView>
  </sheetViews>
  <sheetFormatPr defaultRowHeight="14.4" x14ac:dyDescent="0.3"/>
  <cols>
    <col min="1" max="1" width="23.5546875" customWidth="1"/>
    <col min="2" max="2" width="3.44140625" style="37" customWidth="1"/>
    <col min="3" max="3" width="29.33203125" customWidth="1"/>
    <col min="4" max="4" width="13.33203125" style="5" bestFit="1" customWidth="1"/>
    <col min="5" max="5" width="8.109375" bestFit="1" customWidth="1"/>
    <col min="6" max="6" width="43.5546875" bestFit="1" customWidth="1"/>
    <col min="7" max="7" width="3.109375" style="37" customWidth="1"/>
  </cols>
  <sheetData>
    <row r="1" spans="1:8" s="39" customFormat="1" ht="21" x14ac:dyDescent="0.4">
      <c r="A1" s="38" t="s">
        <v>239</v>
      </c>
      <c r="C1" s="47" t="s">
        <v>336</v>
      </c>
    </row>
    <row r="2" spans="1:8" s="59" customFormat="1" ht="18" x14ac:dyDescent="0.35">
      <c r="C2" s="60" t="s">
        <v>0</v>
      </c>
      <c r="D2" s="60" t="s">
        <v>1</v>
      </c>
      <c r="E2" s="60" t="s">
        <v>13</v>
      </c>
      <c r="F2" s="60" t="s">
        <v>3</v>
      </c>
    </row>
    <row r="3" spans="1:8" ht="15.6" x14ac:dyDescent="0.3">
      <c r="A3" s="23" t="s">
        <v>36</v>
      </c>
      <c r="B3" s="36"/>
      <c r="C3" s="6" t="s">
        <v>240</v>
      </c>
      <c r="D3" s="16">
        <f>Main_dimensions!$G$55</f>
        <v>1.256637061E-6</v>
      </c>
      <c r="E3" s="6" t="s">
        <v>241</v>
      </c>
      <c r="F3" s="6" t="s">
        <v>242</v>
      </c>
      <c r="G3" s="36"/>
      <c r="H3" s="6"/>
    </row>
    <row r="4" spans="1:8" ht="15.6" x14ac:dyDescent="0.3">
      <c r="A4" s="6"/>
      <c r="B4" s="36"/>
      <c r="C4" s="19" t="s">
        <v>267</v>
      </c>
      <c r="D4" s="17">
        <v>1.7199999999999999E-8</v>
      </c>
      <c r="E4" s="6" t="s">
        <v>245</v>
      </c>
      <c r="F4" s="6" t="s">
        <v>244</v>
      </c>
      <c r="G4" s="36"/>
      <c r="H4" s="6"/>
    </row>
    <row r="5" spans="1:8" ht="15.6" x14ac:dyDescent="0.3">
      <c r="A5" s="6"/>
      <c r="B5" s="36"/>
      <c r="C5" s="6" t="s">
        <v>246</v>
      </c>
      <c r="D5" s="16">
        <v>3.9300000000000003E-3</v>
      </c>
      <c r="E5" s="6"/>
      <c r="F5" s="6" t="s">
        <v>247</v>
      </c>
      <c r="G5" s="36"/>
      <c r="H5" s="6"/>
    </row>
    <row r="6" spans="1:8" ht="15.6" x14ac:dyDescent="0.3">
      <c r="A6" s="6"/>
      <c r="B6" s="36"/>
      <c r="C6" s="6"/>
      <c r="D6" s="16"/>
      <c r="E6" s="6"/>
      <c r="F6" s="6"/>
      <c r="G6" s="36"/>
      <c r="H6" s="6"/>
    </row>
    <row r="7" spans="1:8" ht="15.6" x14ac:dyDescent="0.3">
      <c r="A7" s="6"/>
      <c r="B7" s="36"/>
      <c r="C7" s="6" t="s">
        <v>248</v>
      </c>
      <c r="D7" s="16">
        <v>8940</v>
      </c>
      <c r="E7" s="6" t="s">
        <v>254</v>
      </c>
      <c r="F7" s="6" t="s">
        <v>251</v>
      </c>
      <c r="G7" s="36"/>
      <c r="H7" s="6"/>
    </row>
    <row r="8" spans="1:8" ht="15.6" x14ac:dyDescent="0.3">
      <c r="A8" s="6"/>
      <c r="B8" s="36"/>
      <c r="C8" s="6" t="s">
        <v>250</v>
      </c>
      <c r="D8" s="16">
        <v>7850</v>
      </c>
      <c r="E8" s="6" t="s">
        <v>254</v>
      </c>
      <c r="F8" s="6" t="s">
        <v>252</v>
      </c>
      <c r="G8" s="36"/>
      <c r="H8" s="6"/>
    </row>
    <row r="9" spans="1:8" ht="15.6" x14ac:dyDescent="0.3">
      <c r="A9" s="6"/>
      <c r="B9" s="36"/>
      <c r="C9" s="6" t="s">
        <v>249</v>
      </c>
      <c r="D9" s="16">
        <v>7550</v>
      </c>
      <c r="E9" s="6" t="s">
        <v>254</v>
      </c>
      <c r="F9" s="6" t="s">
        <v>253</v>
      </c>
      <c r="G9" s="36"/>
      <c r="H9" s="6"/>
    </row>
    <row r="10" spans="1:8" ht="15.6" x14ac:dyDescent="0.3">
      <c r="A10" s="6"/>
      <c r="B10" s="36"/>
      <c r="C10" s="6"/>
      <c r="D10" s="16"/>
      <c r="E10" s="6"/>
      <c r="F10" s="6"/>
      <c r="G10" s="36"/>
      <c r="H10" s="6"/>
    </row>
    <row r="11" spans="1:8" ht="15.6" x14ac:dyDescent="0.3">
      <c r="A11" s="6"/>
      <c r="B11" s="36"/>
      <c r="C11" s="19" t="s">
        <v>266</v>
      </c>
      <c r="D11" s="17">
        <f>D4*(1+D5*(Main_dimensions!B57+Main_dimensions!B58-20))</f>
        <v>2.5311519999999998E-8</v>
      </c>
      <c r="E11" s="6" t="s">
        <v>245</v>
      </c>
      <c r="F11" s="6" t="s">
        <v>255</v>
      </c>
      <c r="G11" s="36"/>
      <c r="H11" s="6"/>
    </row>
    <row r="12" spans="1:8" ht="15.6" x14ac:dyDescent="0.3">
      <c r="A12" s="6"/>
      <c r="B12" s="36"/>
      <c r="C12" s="6"/>
      <c r="D12" s="16"/>
      <c r="E12" s="6"/>
      <c r="F12" s="6"/>
      <c r="G12" s="36"/>
      <c r="H12" s="6"/>
    </row>
    <row r="13" spans="1:8" ht="15.6" x14ac:dyDescent="0.3">
      <c r="A13" s="6"/>
      <c r="B13" s="36"/>
      <c r="C13" s="6"/>
      <c r="D13" s="16"/>
      <c r="E13" s="6"/>
      <c r="F13" s="6"/>
      <c r="G13" s="36"/>
      <c r="H13" s="6"/>
    </row>
    <row r="14" spans="1:8" ht="15.6" x14ac:dyDescent="0.3">
      <c r="A14" s="6"/>
      <c r="B14" s="36"/>
      <c r="C14" s="6"/>
      <c r="D14" s="16"/>
      <c r="E14" s="6"/>
      <c r="F14" s="6"/>
      <c r="G14" s="36"/>
      <c r="H14" s="6"/>
    </row>
    <row r="15" spans="1:8" ht="15.6" x14ac:dyDescent="0.3">
      <c r="A15" s="6"/>
      <c r="B15" s="36"/>
      <c r="C15" s="6"/>
      <c r="D15" s="16"/>
      <c r="E15" s="6"/>
      <c r="F15" s="6"/>
      <c r="G15" s="36"/>
      <c r="H15" s="6"/>
    </row>
    <row r="16" spans="1:8" ht="15.6" x14ac:dyDescent="0.3">
      <c r="A16" s="6"/>
      <c r="B16" s="36"/>
      <c r="C16" s="6"/>
      <c r="D16" s="16"/>
      <c r="E16" s="6"/>
      <c r="F16" s="6"/>
      <c r="G16" s="36"/>
      <c r="H16" s="6"/>
    </row>
    <row r="17" spans="1:8" ht="15.6" x14ac:dyDescent="0.3">
      <c r="A17" s="6"/>
      <c r="B17" s="36"/>
      <c r="C17" s="6"/>
      <c r="D17" s="16"/>
      <c r="E17" s="6"/>
      <c r="F17" s="6"/>
      <c r="G17" s="36"/>
      <c r="H17" s="6"/>
    </row>
    <row r="18" spans="1:8" ht="15.6" x14ac:dyDescent="0.3">
      <c r="A18" s="6"/>
      <c r="B18" s="36"/>
      <c r="C18" s="6"/>
      <c r="D18" s="16"/>
      <c r="E18" s="6"/>
      <c r="F18" s="6"/>
      <c r="G18" s="36"/>
      <c r="H18" s="6"/>
    </row>
    <row r="19" spans="1:8" ht="15.6" x14ac:dyDescent="0.3">
      <c r="A19" s="6"/>
      <c r="B19" s="36"/>
      <c r="C19" s="6"/>
      <c r="D19" s="16"/>
      <c r="E19" s="6"/>
      <c r="F19" s="6"/>
      <c r="G19" s="36"/>
      <c r="H19" s="6"/>
    </row>
    <row r="20" spans="1:8" ht="15.6" x14ac:dyDescent="0.3">
      <c r="A20" s="6"/>
      <c r="B20" s="36"/>
      <c r="C20" s="6"/>
      <c r="D20" s="16"/>
      <c r="E20" s="6"/>
      <c r="F20" s="6"/>
      <c r="G20" s="36"/>
      <c r="H20" s="6"/>
    </row>
    <row r="21" spans="1:8" ht="15.6" x14ac:dyDescent="0.3">
      <c r="A21" s="6"/>
      <c r="B21" s="36"/>
      <c r="C21" s="6"/>
      <c r="D21" s="16"/>
      <c r="E21" s="6"/>
      <c r="F21" s="6"/>
      <c r="G21" s="36"/>
      <c r="H21" s="6"/>
    </row>
  </sheetData>
  <sheetProtection algorithmName="SHA-512" hashValue="cULmYr3Ih99kpqRcyPxwvXI6+IWIU44uS7LGrQDZ/hcMQ9C75Koljh2Jk5hcdEhnZzTgtWcHV5iXEOYkJilZ+w==" saltValue="5YDCt9KvlZyrGxQbn+xGbA==" spinCount="100000" sheet="1" objects="1" scenarios="1"/>
  <pageMargins left="0.7" right="0.7" top="0.75" bottom="0.75" header="0.3" footer="0.3"/>
  <pageSetup orientation="portrait" r:id="rId1"/>
  <headerFooter>
    <oddHeader>&amp;L&amp;"-,Bold"&amp;15Design &amp; Analysis of IPMSM using FEM&amp;R&amp;12- By Mohana Segaran B
[immohanasegaran30@gmail.com]</oddHeader>
    <oddFooter>&amp;L&amp;12This work is licensed under the Creative Commons Attribution 4.0 International License. To view a copy of this license, visit https://creativecommons.org/licenses/by/4.0/.
Copyright © 2025 Mohana Segaran B.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7A81B-9765-4D57-9873-403B97230F87}">
  <sheetPr codeName="Sheet5"/>
  <dimension ref="A1:T102"/>
  <sheetViews>
    <sheetView topLeftCell="A8" zoomScale="130" zoomScaleNormal="130" workbookViewId="0">
      <selection activeCell="C8" sqref="C8"/>
    </sheetView>
  </sheetViews>
  <sheetFormatPr defaultRowHeight="14.4" x14ac:dyDescent="0.3"/>
  <cols>
    <col min="1" max="1" width="20.109375" customWidth="1"/>
    <col min="2" max="2" width="8.21875" bestFit="1" customWidth="1"/>
    <col min="3" max="3" width="33.44140625" bestFit="1" customWidth="1"/>
    <col min="4" max="4" width="35" bestFit="1" customWidth="1"/>
    <col min="5" max="5" width="4.5546875" style="20" customWidth="1"/>
    <col min="6" max="6" width="27.44140625" bestFit="1" customWidth="1"/>
    <col min="7" max="7" width="40.109375" bestFit="1" customWidth="1"/>
  </cols>
  <sheetData>
    <row r="1" spans="1:20" s="46" customFormat="1" ht="21" x14ac:dyDescent="0.4">
      <c r="A1" s="65" t="s">
        <v>316</v>
      </c>
    </row>
    <row r="2" spans="1:20" s="63" customFormat="1" ht="18" x14ac:dyDescent="0.35">
      <c r="A2" s="61" t="s">
        <v>308</v>
      </c>
      <c r="B2" s="62" t="s">
        <v>295</v>
      </c>
      <c r="C2" s="62" t="s">
        <v>3</v>
      </c>
      <c r="D2" s="62" t="s">
        <v>337</v>
      </c>
      <c r="F2" s="64" t="str">
        <f>D3</f>
        <v>Aspect ratio (ar)</v>
      </c>
      <c r="G2" s="62" t="str">
        <f>D6</f>
        <v>Stator's outer diameter (Do)</v>
      </c>
    </row>
    <row r="3" spans="1:20" ht="15.6" x14ac:dyDescent="0.3">
      <c r="A3" s="6" t="s">
        <v>296</v>
      </c>
      <c r="B3" s="44" t="s">
        <v>412</v>
      </c>
      <c r="C3" s="6" t="s">
        <v>299</v>
      </c>
      <c r="D3" s="6" t="s">
        <v>411</v>
      </c>
      <c r="E3" s="45"/>
      <c r="F3" s="22">
        <v>3.7</v>
      </c>
      <c r="G3" s="22">
        <v>253</v>
      </c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</row>
    <row r="4" spans="1:20" ht="15.6" x14ac:dyDescent="0.3">
      <c r="A4" s="6" t="s">
        <v>300</v>
      </c>
      <c r="B4" s="22">
        <v>3.7</v>
      </c>
      <c r="C4" s="6" t="s">
        <v>301</v>
      </c>
      <c r="D4" s="6"/>
      <c r="E4" s="45"/>
      <c r="F4" s="22">
        <v>3.7204081632653061</v>
      </c>
      <c r="G4" s="22">
        <v>252</v>
      </c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</row>
    <row r="5" spans="1:20" ht="15.6" x14ac:dyDescent="0.3">
      <c r="A5" s="6" t="s">
        <v>303</v>
      </c>
      <c r="B5" s="22">
        <v>4.7</v>
      </c>
      <c r="C5" s="6" t="s">
        <v>302</v>
      </c>
      <c r="D5" s="6"/>
      <c r="E5" s="45"/>
      <c r="F5" s="22">
        <v>3.7408163265306125</v>
      </c>
      <c r="G5" s="22">
        <v>252</v>
      </c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</row>
    <row r="6" spans="1:20" ht="15.6" x14ac:dyDescent="0.3">
      <c r="A6" s="6" t="s">
        <v>297</v>
      </c>
      <c r="B6" s="22" t="s">
        <v>478</v>
      </c>
      <c r="C6" s="6" t="s">
        <v>304</v>
      </c>
      <c r="D6" s="6" t="s">
        <v>413</v>
      </c>
      <c r="E6" s="45"/>
      <c r="F6" s="22">
        <v>3.7612244897959184</v>
      </c>
      <c r="G6" s="22">
        <v>252</v>
      </c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</row>
    <row r="7" spans="1:20" ht="15.6" x14ac:dyDescent="0.3">
      <c r="A7" s="6" t="s">
        <v>298</v>
      </c>
      <c r="B7" s="89">
        <v>50</v>
      </c>
      <c r="C7" s="6" t="s">
        <v>305</v>
      </c>
      <c r="D7" s="6"/>
      <c r="E7" s="45"/>
      <c r="F7" s="22">
        <v>3.7816326530612248</v>
      </c>
      <c r="G7" s="22">
        <v>251</v>
      </c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</row>
    <row r="8" spans="1:20" ht="15.6" x14ac:dyDescent="0.3">
      <c r="A8" s="6"/>
      <c r="B8" s="6"/>
      <c r="C8" s="6"/>
      <c r="D8" s="6"/>
      <c r="E8" s="45"/>
      <c r="F8" s="22">
        <v>3.8020408163265307</v>
      </c>
      <c r="G8" s="22">
        <v>251</v>
      </c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</row>
    <row r="9" spans="1:20" ht="15.6" x14ac:dyDescent="0.3">
      <c r="A9" s="6"/>
      <c r="B9" s="6"/>
      <c r="C9" s="6"/>
      <c r="D9" s="6"/>
      <c r="E9" s="45"/>
      <c r="F9" s="22">
        <v>3.822448979591837</v>
      </c>
      <c r="G9" s="22">
        <v>251</v>
      </c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</row>
    <row r="10" spans="1:20" ht="15.6" x14ac:dyDescent="0.3">
      <c r="A10" s="6"/>
      <c r="B10" s="6"/>
      <c r="C10" s="6"/>
      <c r="D10" s="6"/>
      <c r="E10" s="45"/>
      <c r="F10" s="22">
        <v>3.842857142857143</v>
      </c>
      <c r="G10" s="22">
        <v>251</v>
      </c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</row>
    <row r="11" spans="1:20" ht="15.6" x14ac:dyDescent="0.3">
      <c r="A11" s="6"/>
      <c r="B11" s="6"/>
      <c r="C11" s="6"/>
      <c r="D11" s="6"/>
      <c r="E11" s="45"/>
      <c r="F11" s="22">
        <v>3.8632653061224493</v>
      </c>
      <c r="G11" s="22">
        <v>249</v>
      </c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</row>
    <row r="12" spans="1:20" ht="15.6" x14ac:dyDescent="0.3">
      <c r="A12" s="6"/>
      <c r="B12" s="6"/>
      <c r="C12" s="6"/>
      <c r="D12" s="6"/>
      <c r="E12" s="45"/>
      <c r="F12" s="22">
        <v>3.8836734693877553</v>
      </c>
      <c r="G12" s="22">
        <v>249</v>
      </c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</row>
    <row r="13" spans="1:20" ht="15.6" x14ac:dyDescent="0.3">
      <c r="A13" s="6"/>
      <c r="B13" s="6"/>
      <c r="C13" s="6"/>
      <c r="D13" s="6"/>
      <c r="E13" s="45"/>
      <c r="F13" s="22">
        <v>3.9040816326530612</v>
      </c>
      <c r="G13" s="22">
        <v>249</v>
      </c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</row>
    <row r="14" spans="1:20" ht="15.6" x14ac:dyDescent="0.3">
      <c r="A14" s="6"/>
      <c r="B14" s="6"/>
      <c r="C14" s="6"/>
      <c r="D14" s="6"/>
      <c r="E14" s="45"/>
      <c r="F14" s="22">
        <v>3.9244897959183676</v>
      </c>
      <c r="G14" s="22">
        <v>248</v>
      </c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</row>
    <row r="15" spans="1:20" ht="15.6" x14ac:dyDescent="0.3">
      <c r="A15" s="6"/>
      <c r="B15" s="6"/>
      <c r="C15" s="6"/>
      <c r="D15" s="6"/>
      <c r="E15" s="45"/>
      <c r="F15" s="22">
        <v>3.9448979591836735</v>
      </c>
      <c r="G15" s="22">
        <v>248</v>
      </c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</row>
    <row r="16" spans="1:20" ht="15.6" x14ac:dyDescent="0.3">
      <c r="A16" s="6"/>
      <c r="B16" s="6"/>
      <c r="C16" s="6"/>
      <c r="D16" s="6"/>
      <c r="E16" s="45"/>
      <c r="F16" s="22">
        <v>3.9653061224489798</v>
      </c>
      <c r="G16" s="22">
        <v>248</v>
      </c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</row>
    <row r="17" spans="1:20" ht="15.6" x14ac:dyDescent="0.3">
      <c r="A17" s="6"/>
      <c r="B17" s="6"/>
      <c r="C17" s="6"/>
      <c r="D17" s="6"/>
      <c r="E17" s="45"/>
      <c r="F17" s="22">
        <v>3.9857142857142858</v>
      </c>
      <c r="G17" s="22">
        <v>247</v>
      </c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</row>
    <row r="18" spans="1:20" ht="15.6" x14ac:dyDescent="0.3">
      <c r="A18" s="6"/>
      <c r="B18" s="6"/>
      <c r="C18" s="6"/>
      <c r="D18" s="6"/>
      <c r="E18" s="45"/>
      <c r="F18" s="22">
        <v>4.0061224489795917</v>
      </c>
      <c r="G18" s="22">
        <v>247</v>
      </c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</row>
    <row r="19" spans="1:20" ht="15.6" x14ac:dyDescent="0.3">
      <c r="A19" s="6"/>
      <c r="B19" s="6"/>
      <c r="C19" s="6"/>
      <c r="D19" s="6"/>
      <c r="E19" s="45"/>
      <c r="F19" s="22">
        <v>4.0265306122448985</v>
      </c>
      <c r="G19" s="22">
        <v>247</v>
      </c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</row>
    <row r="20" spans="1:20" ht="15.6" x14ac:dyDescent="0.3">
      <c r="A20" s="6"/>
      <c r="B20" s="6"/>
      <c r="C20" s="6"/>
      <c r="D20" s="6"/>
      <c r="E20" s="45"/>
      <c r="F20" s="22">
        <v>4.0469387755102044</v>
      </c>
      <c r="G20" s="22">
        <v>247</v>
      </c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</row>
    <row r="21" spans="1:20" ht="15.6" x14ac:dyDescent="0.3">
      <c r="A21" s="6"/>
      <c r="B21" s="6"/>
      <c r="C21" s="6"/>
      <c r="D21" s="6"/>
      <c r="E21" s="45"/>
      <c r="F21" s="22">
        <v>4.0673469387755103</v>
      </c>
      <c r="G21" s="22">
        <v>246</v>
      </c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</row>
    <row r="22" spans="1:20" ht="15.6" x14ac:dyDescent="0.3">
      <c r="A22" s="6"/>
      <c r="B22" s="6"/>
      <c r="C22" s="6"/>
      <c r="D22" s="6"/>
      <c r="E22" s="45"/>
      <c r="F22" s="22">
        <v>4.0877551020408163</v>
      </c>
      <c r="G22" s="22">
        <v>246</v>
      </c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</row>
    <row r="23" spans="1:20" ht="15.6" x14ac:dyDescent="0.3">
      <c r="A23" s="6"/>
      <c r="B23" s="6"/>
      <c r="C23" s="6"/>
      <c r="D23" s="6"/>
      <c r="E23" s="45"/>
      <c r="F23" s="22">
        <v>4.1081632653061222</v>
      </c>
      <c r="G23" s="22">
        <v>246</v>
      </c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</row>
    <row r="24" spans="1:20" ht="15.6" x14ac:dyDescent="0.3">
      <c r="A24" s="6"/>
      <c r="B24" s="6"/>
      <c r="C24" s="6"/>
      <c r="D24" s="6"/>
      <c r="E24" s="45"/>
      <c r="F24" s="22">
        <v>4.128571428571429</v>
      </c>
      <c r="G24" s="22">
        <v>245</v>
      </c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</row>
    <row r="25" spans="1:20" ht="15.6" x14ac:dyDescent="0.3">
      <c r="A25" s="6"/>
      <c r="B25" s="6"/>
      <c r="C25" s="6"/>
      <c r="D25" s="6"/>
      <c r="E25" s="45"/>
      <c r="F25" s="22">
        <v>4.1489795918367349</v>
      </c>
      <c r="G25" s="22">
        <v>245</v>
      </c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</row>
    <row r="26" spans="1:20" ht="15.6" x14ac:dyDescent="0.3">
      <c r="A26" s="6"/>
      <c r="B26" s="6"/>
      <c r="C26" s="6"/>
      <c r="D26" s="6"/>
      <c r="E26" s="45"/>
      <c r="F26" s="22">
        <v>4.1693877551020408</v>
      </c>
      <c r="G26" s="22">
        <v>245</v>
      </c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</row>
    <row r="27" spans="1:20" ht="15.6" x14ac:dyDescent="0.3">
      <c r="A27" s="6"/>
      <c r="B27" s="6"/>
      <c r="C27" s="6"/>
      <c r="D27" s="6"/>
      <c r="E27" s="45"/>
      <c r="F27" s="22">
        <v>4.1897959183673468</v>
      </c>
      <c r="G27" s="22">
        <v>245</v>
      </c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</row>
    <row r="28" spans="1:20" ht="15.6" x14ac:dyDescent="0.3">
      <c r="A28" s="6"/>
      <c r="B28" s="6"/>
      <c r="C28" s="6"/>
      <c r="D28" s="6"/>
      <c r="E28" s="45"/>
      <c r="F28" s="22">
        <v>4.2102040816326536</v>
      </c>
      <c r="G28" s="22">
        <v>244</v>
      </c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</row>
    <row r="29" spans="1:20" ht="15.6" x14ac:dyDescent="0.3">
      <c r="A29" s="6"/>
      <c r="B29" s="6"/>
      <c r="C29" s="6"/>
      <c r="D29" s="6"/>
      <c r="E29" s="45"/>
      <c r="F29" s="22">
        <v>4.2306122448979595</v>
      </c>
      <c r="G29" s="22">
        <v>244</v>
      </c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</row>
    <row r="30" spans="1:20" ht="15.6" x14ac:dyDescent="0.3">
      <c r="A30" s="6"/>
      <c r="B30" s="6"/>
      <c r="C30" s="6"/>
      <c r="D30" s="6"/>
      <c r="E30" s="45"/>
      <c r="F30" s="22">
        <v>4.2510204081632654</v>
      </c>
      <c r="G30" s="22">
        <v>244</v>
      </c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</row>
    <row r="31" spans="1:20" ht="15.6" x14ac:dyDescent="0.3">
      <c r="A31" s="6"/>
      <c r="B31" s="6"/>
      <c r="C31" s="6"/>
      <c r="D31" s="6"/>
      <c r="E31" s="45"/>
      <c r="F31" s="22">
        <v>4.2714285714285714</v>
      </c>
      <c r="G31" s="22">
        <v>244</v>
      </c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</row>
    <row r="32" spans="1:20" ht="15.6" x14ac:dyDescent="0.3">
      <c r="A32" s="6"/>
      <c r="B32" s="6"/>
      <c r="C32" s="6"/>
      <c r="D32" s="6"/>
      <c r="E32" s="45"/>
      <c r="F32" s="22">
        <v>4.2918367346938773</v>
      </c>
      <c r="G32" s="22">
        <v>243</v>
      </c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</row>
    <row r="33" spans="1:20" ht="15.6" x14ac:dyDescent="0.3">
      <c r="A33" s="6"/>
      <c r="B33" s="6"/>
      <c r="C33" s="6"/>
      <c r="D33" s="6"/>
      <c r="E33" s="45"/>
      <c r="F33" s="22">
        <v>4.3122448979591841</v>
      </c>
      <c r="G33" s="22">
        <v>243</v>
      </c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</row>
    <row r="34" spans="1:20" ht="15.6" x14ac:dyDescent="0.3">
      <c r="A34" s="6"/>
      <c r="B34" s="6"/>
      <c r="C34" s="6"/>
      <c r="D34" s="6"/>
      <c r="E34" s="45"/>
      <c r="F34" s="22">
        <v>4.33265306122449</v>
      </c>
      <c r="G34" s="22">
        <v>243</v>
      </c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</row>
    <row r="35" spans="1:20" ht="15.6" x14ac:dyDescent="0.3">
      <c r="A35" s="6"/>
      <c r="B35" s="6"/>
      <c r="C35" s="6"/>
      <c r="D35" s="6"/>
      <c r="E35" s="45"/>
      <c r="F35" s="22">
        <v>4.3530612244897959</v>
      </c>
      <c r="G35" s="22">
        <v>243</v>
      </c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</row>
    <row r="36" spans="1:20" ht="15.6" x14ac:dyDescent="0.3">
      <c r="A36" s="6"/>
      <c r="B36" s="6"/>
      <c r="C36" s="6"/>
      <c r="D36" s="6"/>
      <c r="E36" s="45"/>
      <c r="F36" s="22">
        <v>4.3734693877551019</v>
      </c>
      <c r="G36" s="22">
        <v>242</v>
      </c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</row>
    <row r="37" spans="1:20" ht="15.6" x14ac:dyDescent="0.3">
      <c r="A37" s="6"/>
      <c r="B37" s="6"/>
      <c r="C37" s="6"/>
      <c r="D37" s="6"/>
      <c r="E37" s="45"/>
      <c r="F37" s="22">
        <v>4.3938775510204087</v>
      </c>
      <c r="G37" s="22">
        <v>242</v>
      </c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</row>
    <row r="38" spans="1:20" ht="15.6" x14ac:dyDescent="0.3">
      <c r="A38" s="6"/>
      <c r="B38" s="6"/>
      <c r="C38" s="6"/>
      <c r="D38" s="6"/>
      <c r="E38" s="45"/>
      <c r="F38" s="22">
        <v>4.4142857142857146</v>
      </c>
      <c r="G38" s="22">
        <v>242</v>
      </c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</row>
    <row r="39" spans="1:20" ht="15.6" x14ac:dyDescent="0.3">
      <c r="A39" s="6"/>
      <c r="B39" s="6"/>
      <c r="C39" s="6"/>
      <c r="D39" s="6"/>
      <c r="E39" s="45"/>
      <c r="F39" s="22">
        <v>4.4346938775510205</v>
      </c>
      <c r="G39" s="22">
        <v>242</v>
      </c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</row>
    <row r="40" spans="1:20" ht="15.6" x14ac:dyDescent="0.3">
      <c r="A40" s="6"/>
      <c r="B40" s="6"/>
      <c r="C40" s="6"/>
      <c r="D40" s="6"/>
      <c r="E40" s="45"/>
      <c r="F40" s="22">
        <v>4.4551020408163264</v>
      </c>
      <c r="G40" s="22">
        <v>241</v>
      </c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</row>
    <row r="41" spans="1:20" ht="15.6" x14ac:dyDescent="0.3">
      <c r="A41" s="6"/>
      <c r="B41" s="6"/>
      <c r="C41" s="6"/>
      <c r="D41" s="6"/>
      <c r="E41" s="45"/>
      <c r="F41" s="22">
        <v>4.4755102040816324</v>
      </c>
      <c r="G41" s="22">
        <v>241</v>
      </c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</row>
    <row r="42" spans="1:20" ht="15.6" x14ac:dyDescent="0.3">
      <c r="A42" s="6"/>
      <c r="B42" s="6"/>
      <c r="C42" s="6"/>
      <c r="D42" s="6"/>
      <c r="E42" s="45"/>
      <c r="F42" s="22">
        <v>4.4959183673469392</v>
      </c>
      <c r="G42" s="22">
        <v>241</v>
      </c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</row>
    <row r="43" spans="1:20" ht="15.6" x14ac:dyDescent="0.3">
      <c r="A43" s="6"/>
      <c r="B43" s="6"/>
      <c r="C43" s="6"/>
      <c r="D43" s="6"/>
      <c r="E43" s="45"/>
      <c r="F43" s="22">
        <v>4.5163265306122451</v>
      </c>
      <c r="G43" s="22">
        <v>241</v>
      </c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</row>
    <row r="44" spans="1:20" ht="15.6" x14ac:dyDescent="0.3">
      <c r="A44" s="6"/>
      <c r="B44" s="6"/>
      <c r="C44" s="6"/>
      <c r="D44" s="6"/>
      <c r="E44" s="45"/>
      <c r="F44" s="22">
        <v>4.536734693877551</v>
      </c>
      <c r="G44" s="22">
        <v>240</v>
      </c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</row>
    <row r="45" spans="1:20" ht="15.6" x14ac:dyDescent="0.3">
      <c r="A45" s="6"/>
      <c r="B45" s="6"/>
      <c r="C45" s="6"/>
      <c r="D45" s="6"/>
      <c r="E45" s="45"/>
      <c r="F45" s="22">
        <v>4.5571428571428569</v>
      </c>
      <c r="G45" s="22">
        <v>240</v>
      </c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</row>
    <row r="46" spans="1:20" ht="15.6" x14ac:dyDescent="0.3">
      <c r="A46" s="6"/>
      <c r="B46" s="6"/>
      <c r="C46" s="6"/>
      <c r="D46" s="6"/>
      <c r="E46" s="45"/>
      <c r="F46" s="22">
        <v>4.5775510204081638</v>
      </c>
      <c r="G46" s="22">
        <v>240</v>
      </c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</row>
    <row r="47" spans="1:20" ht="15.6" x14ac:dyDescent="0.3">
      <c r="A47" s="6"/>
      <c r="B47" s="6"/>
      <c r="C47" s="6"/>
      <c r="D47" s="6"/>
      <c r="E47" s="45"/>
      <c r="F47" s="22">
        <v>4.5979591836734697</v>
      </c>
      <c r="G47" s="22">
        <v>240</v>
      </c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</row>
    <row r="48" spans="1:20" ht="15.6" x14ac:dyDescent="0.3">
      <c r="A48" s="6"/>
      <c r="B48" s="6"/>
      <c r="C48" s="6"/>
      <c r="D48" s="6"/>
      <c r="E48" s="45"/>
      <c r="F48" s="22">
        <v>4.6183673469387756</v>
      </c>
      <c r="G48" s="22">
        <v>239</v>
      </c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</row>
    <row r="49" spans="1:20" ht="15.6" x14ac:dyDescent="0.3">
      <c r="A49" s="6"/>
      <c r="B49" s="6"/>
      <c r="C49" s="6"/>
      <c r="D49" s="6"/>
      <c r="E49" s="45"/>
      <c r="F49" s="22">
        <v>4.6387755102040815</v>
      </c>
      <c r="G49" s="22">
        <v>239</v>
      </c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</row>
    <row r="50" spans="1:20" ht="15.6" x14ac:dyDescent="0.3">
      <c r="A50" s="6"/>
      <c r="B50" s="6"/>
      <c r="C50" s="6"/>
      <c r="D50" s="6"/>
      <c r="E50" s="45"/>
      <c r="F50" s="22">
        <v>4.6591836734693874</v>
      </c>
      <c r="G50" s="22">
        <v>239</v>
      </c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</row>
    <row r="51" spans="1:20" ht="15.6" x14ac:dyDescent="0.3">
      <c r="A51" s="6"/>
      <c r="B51" s="6"/>
      <c r="C51" s="6"/>
      <c r="D51" s="6"/>
      <c r="E51" s="45"/>
      <c r="F51" s="22">
        <v>4.6795918367346943</v>
      </c>
      <c r="G51" s="22">
        <v>239</v>
      </c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</row>
    <row r="52" spans="1:20" ht="15.6" x14ac:dyDescent="0.3">
      <c r="A52" s="6"/>
      <c r="B52" s="6"/>
      <c r="C52" s="6"/>
      <c r="D52" s="6"/>
      <c r="E52" s="45"/>
      <c r="F52" s="22">
        <v>4.7</v>
      </c>
      <c r="G52" s="22">
        <v>237</v>
      </c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</row>
    <row r="53" spans="1:20" ht="15.6" x14ac:dyDescent="0.3">
      <c r="A53" s="6"/>
      <c r="B53" s="6"/>
      <c r="C53" s="6"/>
      <c r="D53" s="6"/>
      <c r="E53" s="45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</row>
    <row r="54" spans="1:20" ht="15.6" x14ac:dyDescent="0.3">
      <c r="A54" s="6"/>
      <c r="B54" s="6"/>
      <c r="C54" s="6"/>
      <c r="D54" s="6"/>
      <c r="E54" s="45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</row>
    <row r="55" spans="1:20" ht="15.6" x14ac:dyDescent="0.3">
      <c r="A55" s="6"/>
      <c r="B55" s="6"/>
      <c r="C55" s="6"/>
      <c r="D55" s="6"/>
      <c r="E55" s="45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</row>
    <row r="56" spans="1:20" ht="15.6" x14ac:dyDescent="0.3">
      <c r="A56" s="6"/>
      <c r="B56" s="6"/>
      <c r="C56" s="6"/>
      <c r="D56" s="6"/>
      <c r="E56" s="45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</row>
    <row r="57" spans="1:20" ht="15.6" x14ac:dyDescent="0.3">
      <c r="A57" s="6"/>
      <c r="B57" s="6"/>
      <c r="C57" s="6"/>
      <c r="D57" s="6"/>
      <c r="E57" s="45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</row>
    <row r="58" spans="1:20" ht="15.6" x14ac:dyDescent="0.3">
      <c r="A58" s="6"/>
      <c r="B58" s="6"/>
      <c r="C58" s="6"/>
      <c r="D58" s="6"/>
      <c r="E58" s="45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</row>
    <row r="59" spans="1:20" ht="15.6" x14ac:dyDescent="0.3">
      <c r="A59" s="6"/>
      <c r="B59" s="6"/>
      <c r="C59" s="6"/>
      <c r="D59" s="6"/>
      <c r="E59" s="45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</row>
    <row r="60" spans="1:20" ht="15.6" x14ac:dyDescent="0.3">
      <c r="A60" s="6"/>
      <c r="B60" s="6"/>
      <c r="C60" s="6"/>
      <c r="D60" s="6"/>
      <c r="E60" s="45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</row>
    <row r="61" spans="1:20" ht="15.6" x14ac:dyDescent="0.3">
      <c r="A61" s="6"/>
      <c r="B61" s="6"/>
      <c r="C61" s="6"/>
      <c r="D61" s="6"/>
      <c r="E61" s="45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</row>
    <row r="62" spans="1:20" ht="15.6" x14ac:dyDescent="0.3">
      <c r="A62" s="6"/>
      <c r="B62" s="6"/>
      <c r="C62" s="6"/>
      <c r="D62" s="6"/>
      <c r="E62" s="45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</row>
    <row r="63" spans="1:20" ht="15.6" x14ac:dyDescent="0.3">
      <c r="A63" s="6"/>
      <c r="B63" s="6"/>
      <c r="C63" s="6"/>
      <c r="D63" s="6"/>
      <c r="E63" s="45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</row>
    <row r="64" spans="1:20" ht="15.6" x14ac:dyDescent="0.3">
      <c r="A64" s="6"/>
      <c r="B64" s="6"/>
      <c r="C64" s="6"/>
      <c r="D64" s="6"/>
      <c r="E64" s="45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</row>
    <row r="65" spans="1:20" ht="15.6" x14ac:dyDescent="0.3">
      <c r="A65" s="6"/>
      <c r="B65" s="6"/>
      <c r="C65" s="6"/>
      <c r="D65" s="6"/>
      <c r="E65" s="45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</row>
    <row r="66" spans="1:20" ht="15.6" x14ac:dyDescent="0.3">
      <c r="A66" s="6"/>
      <c r="B66" s="6"/>
      <c r="C66" s="6"/>
      <c r="D66" s="6"/>
      <c r="E66" s="45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</row>
    <row r="67" spans="1:20" ht="15.6" x14ac:dyDescent="0.3">
      <c r="A67" s="6"/>
      <c r="B67" s="6"/>
      <c r="C67" s="6"/>
      <c r="D67" s="6"/>
      <c r="E67" s="45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</row>
    <row r="68" spans="1:20" ht="15.6" x14ac:dyDescent="0.3">
      <c r="A68" s="6"/>
      <c r="B68" s="6"/>
      <c r="C68" s="6"/>
      <c r="D68" s="6"/>
      <c r="E68" s="45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</row>
    <row r="69" spans="1:20" ht="15.6" x14ac:dyDescent="0.3">
      <c r="A69" s="6"/>
      <c r="B69" s="6"/>
      <c r="C69" s="6"/>
      <c r="D69" s="6"/>
      <c r="E69" s="45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</row>
    <row r="70" spans="1:20" ht="15.6" x14ac:dyDescent="0.3">
      <c r="A70" s="6"/>
      <c r="B70" s="6"/>
      <c r="C70" s="6"/>
      <c r="D70" s="6"/>
      <c r="E70" s="45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</row>
    <row r="71" spans="1:20" ht="15.6" x14ac:dyDescent="0.3">
      <c r="A71" s="6"/>
      <c r="B71" s="6"/>
      <c r="C71" s="6"/>
      <c r="D71" s="6"/>
      <c r="E71" s="45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</row>
    <row r="72" spans="1:20" ht="15.6" x14ac:dyDescent="0.3">
      <c r="A72" s="6"/>
      <c r="B72" s="6"/>
      <c r="C72" s="6"/>
      <c r="D72" s="6"/>
      <c r="E72" s="45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</row>
    <row r="73" spans="1:20" ht="15.6" x14ac:dyDescent="0.3">
      <c r="A73" s="6"/>
      <c r="B73" s="6"/>
      <c r="C73" s="6"/>
      <c r="D73" s="6"/>
      <c r="E73" s="45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</row>
    <row r="74" spans="1:20" ht="15.6" x14ac:dyDescent="0.3">
      <c r="A74" s="6"/>
      <c r="B74" s="6"/>
      <c r="C74" s="6"/>
      <c r="D74" s="6"/>
      <c r="E74" s="45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</row>
    <row r="75" spans="1:20" ht="15.6" x14ac:dyDescent="0.3">
      <c r="A75" s="6"/>
      <c r="B75" s="6"/>
      <c r="C75" s="6"/>
      <c r="D75" s="6"/>
      <c r="E75" s="45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</row>
    <row r="76" spans="1:20" ht="15.6" x14ac:dyDescent="0.3">
      <c r="A76" s="6"/>
      <c r="B76" s="6"/>
      <c r="C76" s="6"/>
      <c r="D76" s="6"/>
      <c r="E76" s="45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</row>
    <row r="77" spans="1:20" ht="15.6" x14ac:dyDescent="0.3">
      <c r="A77" s="6"/>
      <c r="B77" s="6"/>
      <c r="C77" s="6"/>
      <c r="D77" s="6"/>
      <c r="E77" s="45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</row>
    <row r="78" spans="1:20" ht="15.6" x14ac:dyDescent="0.3">
      <c r="A78" s="6"/>
      <c r="B78" s="6"/>
      <c r="C78" s="6"/>
      <c r="D78" s="6"/>
      <c r="E78" s="45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</row>
    <row r="79" spans="1:20" ht="15.6" x14ac:dyDescent="0.3">
      <c r="A79" s="6"/>
      <c r="B79" s="6"/>
      <c r="C79" s="6"/>
      <c r="D79" s="6"/>
      <c r="E79" s="45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</row>
    <row r="80" spans="1:20" ht="15.6" x14ac:dyDescent="0.3">
      <c r="A80" s="6"/>
      <c r="B80" s="6"/>
      <c r="C80" s="6"/>
      <c r="D80" s="6"/>
      <c r="E80" s="45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</row>
    <row r="81" spans="1:20" ht="15.6" x14ac:dyDescent="0.3">
      <c r="A81" s="6"/>
      <c r="B81" s="6"/>
      <c r="C81" s="6"/>
      <c r="D81" s="6"/>
      <c r="E81" s="45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</row>
    <row r="82" spans="1:20" ht="15.6" x14ac:dyDescent="0.3">
      <c r="A82" s="6"/>
      <c r="B82" s="6"/>
      <c r="C82" s="6"/>
      <c r="D82" s="6"/>
      <c r="E82" s="45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</row>
    <row r="83" spans="1:20" ht="15.6" x14ac:dyDescent="0.3">
      <c r="A83" s="6"/>
      <c r="B83" s="6"/>
      <c r="C83" s="6"/>
      <c r="D83" s="6"/>
      <c r="E83" s="45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</row>
    <row r="84" spans="1:20" ht="15.6" x14ac:dyDescent="0.3">
      <c r="A84" s="6"/>
      <c r="B84" s="6"/>
      <c r="C84" s="6"/>
      <c r="D84" s="6"/>
      <c r="E84" s="45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</row>
    <row r="85" spans="1:20" ht="15.6" x14ac:dyDescent="0.3">
      <c r="A85" s="6"/>
      <c r="B85" s="6"/>
      <c r="C85" s="6"/>
      <c r="D85" s="6"/>
      <c r="E85" s="45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</row>
    <row r="86" spans="1:20" ht="15.6" x14ac:dyDescent="0.3">
      <c r="A86" s="6"/>
      <c r="B86" s="6"/>
      <c r="C86" s="6"/>
      <c r="D86" s="6"/>
      <c r="E86" s="45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</row>
    <row r="87" spans="1:20" ht="15.6" x14ac:dyDescent="0.3">
      <c r="A87" s="6"/>
      <c r="B87" s="6"/>
      <c r="C87" s="6"/>
      <c r="D87" s="6"/>
      <c r="E87" s="45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</row>
    <row r="88" spans="1:20" ht="15.6" x14ac:dyDescent="0.3">
      <c r="A88" s="6"/>
      <c r="B88" s="6"/>
      <c r="C88" s="6"/>
      <c r="D88" s="6"/>
      <c r="E88" s="45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</row>
    <row r="89" spans="1:20" ht="15.6" x14ac:dyDescent="0.3">
      <c r="A89" s="6"/>
      <c r="B89" s="6"/>
      <c r="C89" s="6"/>
      <c r="D89" s="6"/>
      <c r="E89" s="45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</row>
    <row r="90" spans="1:20" ht="15.6" x14ac:dyDescent="0.3">
      <c r="A90" s="6"/>
      <c r="B90" s="6"/>
      <c r="C90" s="6"/>
      <c r="D90" s="6"/>
      <c r="E90" s="45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</row>
    <row r="91" spans="1:20" ht="15.6" x14ac:dyDescent="0.3">
      <c r="A91" s="6"/>
      <c r="B91" s="6"/>
      <c r="C91" s="6"/>
      <c r="D91" s="6"/>
      <c r="E91" s="45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</row>
    <row r="92" spans="1:20" ht="15.6" x14ac:dyDescent="0.3">
      <c r="A92" s="6"/>
      <c r="B92" s="6"/>
      <c r="C92" s="6"/>
      <c r="D92" s="6"/>
      <c r="E92" s="45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</row>
    <row r="93" spans="1:20" ht="15.6" x14ac:dyDescent="0.3">
      <c r="A93" s="6"/>
      <c r="B93" s="6"/>
      <c r="C93" s="6"/>
      <c r="D93" s="6"/>
      <c r="E93" s="45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</row>
    <row r="94" spans="1:20" ht="15.6" x14ac:dyDescent="0.3">
      <c r="A94" s="6"/>
      <c r="B94" s="6"/>
      <c r="C94" s="6"/>
      <c r="D94" s="6"/>
      <c r="E94" s="45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</row>
    <row r="95" spans="1:20" ht="15.6" x14ac:dyDescent="0.3">
      <c r="A95" s="6"/>
      <c r="B95" s="6"/>
      <c r="C95" s="6"/>
      <c r="D95" s="6"/>
      <c r="E95" s="45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</row>
    <row r="96" spans="1:20" ht="15.6" x14ac:dyDescent="0.3">
      <c r="A96" s="6"/>
      <c r="B96" s="6"/>
      <c r="C96" s="6"/>
      <c r="D96" s="6"/>
      <c r="E96" s="45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</row>
    <row r="97" spans="1:20" ht="15.6" x14ac:dyDescent="0.3">
      <c r="A97" s="6"/>
      <c r="B97" s="6"/>
      <c r="C97" s="6"/>
      <c r="D97" s="6"/>
      <c r="E97" s="45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</row>
    <row r="98" spans="1:20" ht="15.6" x14ac:dyDescent="0.3">
      <c r="A98" s="6"/>
      <c r="B98" s="6"/>
      <c r="C98" s="6"/>
      <c r="D98" s="6"/>
      <c r="E98" s="45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</row>
    <row r="99" spans="1:20" ht="15.6" x14ac:dyDescent="0.3">
      <c r="A99" s="6"/>
      <c r="B99" s="6"/>
      <c r="C99" s="6"/>
      <c r="D99" s="6"/>
      <c r="E99" s="45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</row>
    <row r="100" spans="1:20" ht="15.6" x14ac:dyDescent="0.3">
      <c r="A100" s="6"/>
      <c r="B100" s="6"/>
      <c r="C100" s="6"/>
      <c r="D100" s="6"/>
      <c r="E100" s="45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</row>
    <row r="101" spans="1:20" ht="15.6" x14ac:dyDescent="0.3">
      <c r="A101" s="6"/>
      <c r="B101" s="6"/>
      <c r="C101" s="6"/>
      <c r="D101" s="6"/>
      <c r="E101" s="45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</row>
    <row r="102" spans="1:20" ht="15.6" x14ac:dyDescent="0.3">
      <c r="A102" s="6"/>
      <c r="B102" s="6"/>
      <c r="C102" s="6"/>
      <c r="D102" s="6"/>
      <c r="E102" s="45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</row>
  </sheetData>
  <sheetProtection algorithmName="SHA-512" hashValue="7sZefrzO4fzgK+f0CJO6oKJU9a+NdhhgVZ4F4eEw7t48vYgPyM6WpVWt65xRWmaG99aoebestkhkz6UwjUp4QA==" saltValue="gD4OcAOgoe53oODuh3GFPQ==" spinCount="100000" sheet="1" objects="1" scenarios="1"/>
  <pageMargins left="0.7" right="0.7" top="0.75" bottom="0.75" header="0.3" footer="0.3"/>
  <pageSetup orientation="portrait" r:id="rId1"/>
  <headerFooter>
    <oddHeader>&amp;L&amp;"-,Bold"&amp;15Design &amp; Analysis of IPMSM using FEM
&amp;R&amp;12- By Mohana Segaran B
[immohanasegaran30@gmail.com]</oddHeader>
    <oddFooter>&amp;L&amp;12This work is licensed under the Creative Commons Attribution 4.0 International License. To view a copy of this license, visit https://creativecommons.org/licenses/by/4.0/.
Copyright © 2025 Mohana Segaran B.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8EF632-4EF9-4CD4-B294-F390FE2A9D2E}">
  <sheetPr codeName="Sheet6"/>
  <dimension ref="A1:AB109"/>
  <sheetViews>
    <sheetView topLeftCell="A34" zoomScale="130" zoomScaleNormal="130" workbookViewId="0">
      <selection activeCell="B39" sqref="B39"/>
    </sheetView>
  </sheetViews>
  <sheetFormatPr defaultRowHeight="14.4" x14ac:dyDescent="0.3"/>
  <cols>
    <col min="1" max="1" width="32.5546875" style="70" customWidth="1"/>
    <col min="2" max="2" width="13.109375" customWidth="1"/>
    <col min="3" max="3" width="11.5546875" customWidth="1"/>
    <col min="4" max="4" width="24.33203125" bestFit="1" customWidth="1"/>
    <col min="5" max="5" width="14" bestFit="1" customWidth="1"/>
    <col min="6" max="6" width="17.21875" bestFit="1" customWidth="1"/>
    <col min="7" max="7" width="10.88671875" bestFit="1" customWidth="1"/>
    <col min="8" max="8" width="9.6640625" bestFit="1" customWidth="1"/>
    <col min="9" max="9" width="10.21875" bestFit="1" customWidth="1"/>
  </cols>
  <sheetData>
    <row r="1" spans="1:28" s="68" customFormat="1" ht="21" x14ac:dyDescent="0.4">
      <c r="A1" s="67" t="s">
        <v>345</v>
      </c>
      <c r="D1" s="68" t="s">
        <v>339</v>
      </c>
    </row>
    <row r="2" spans="1:28" s="75" customFormat="1" ht="18" x14ac:dyDescent="0.35">
      <c r="A2" s="66" t="s">
        <v>338</v>
      </c>
      <c r="B2" s="74" t="s">
        <v>341</v>
      </c>
      <c r="C2" s="74" t="s">
        <v>342</v>
      </c>
      <c r="D2" s="74" t="s">
        <v>479</v>
      </c>
      <c r="E2" s="74" t="s">
        <v>480</v>
      </c>
      <c r="F2" s="74" t="s">
        <v>470</v>
      </c>
      <c r="G2" s="74" t="s">
        <v>481</v>
      </c>
      <c r="H2" s="74" t="s">
        <v>482</v>
      </c>
    </row>
    <row r="3" spans="1:28" s="77" customFormat="1" ht="18" x14ac:dyDescent="0.35">
      <c r="A3" s="66" t="s">
        <v>340</v>
      </c>
      <c r="B3" s="76" t="s">
        <v>8</v>
      </c>
      <c r="C3" s="76" t="s">
        <v>343</v>
      </c>
      <c r="D3" s="76" t="s">
        <v>361</v>
      </c>
      <c r="E3" s="76" t="s">
        <v>344</v>
      </c>
      <c r="F3" s="76" t="s">
        <v>360</v>
      </c>
      <c r="G3" s="91" t="s">
        <v>469</v>
      </c>
      <c r="H3" s="91" t="s">
        <v>471</v>
      </c>
      <c r="I3" s="91" t="s">
        <v>473</v>
      </c>
      <c r="J3" s="76"/>
      <c r="K3" s="76"/>
      <c r="L3" s="76"/>
      <c r="M3" s="76"/>
      <c r="N3" s="76"/>
      <c r="O3" s="76"/>
      <c r="P3" s="76"/>
      <c r="Q3" s="76"/>
      <c r="R3" s="76"/>
      <c r="S3" s="76"/>
      <c r="T3" s="76"/>
      <c r="U3" s="76"/>
      <c r="V3" s="76"/>
      <c r="W3" s="76"/>
      <c r="X3" s="76"/>
      <c r="Y3" s="76"/>
      <c r="Z3" s="76"/>
      <c r="AA3" s="76"/>
      <c r="AB3" s="76"/>
    </row>
    <row r="4" spans="1:28" ht="15.6" x14ac:dyDescent="0.3">
      <c r="A4" s="69" t="s">
        <v>348</v>
      </c>
      <c r="B4" s="6">
        <v>4</v>
      </c>
      <c r="C4" s="6">
        <v>12</v>
      </c>
      <c r="D4" s="72">
        <v>0.83701086280289327</v>
      </c>
      <c r="E4" s="72">
        <v>1</v>
      </c>
      <c r="F4" s="6">
        <v>0.4</v>
      </c>
      <c r="G4" s="72">
        <v>0.2580642601033728</v>
      </c>
      <c r="H4" s="72">
        <v>0.95532158744262485</v>
      </c>
      <c r="I4" s="72">
        <f>D4+E4+G4</f>
        <v>2.0950751229062661</v>
      </c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</row>
    <row r="5" spans="1:28" ht="15.6" x14ac:dyDescent="0.3">
      <c r="A5" s="69" t="s">
        <v>349</v>
      </c>
      <c r="B5" s="6">
        <v>4</v>
      </c>
      <c r="C5" s="6">
        <v>24</v>
      </c>
      <c r="D5" s="72">
        <v>0.92442925208077376</v>
      </c>
      <c r="E5" s="72">
        <v>0.52503456224268286</v>
      </c>
      <c r="F5" s="6">
        <v>0.4</v>
      </c>
      <c r="G5" s="72">
        <v>0.25801659044265168</v>
      </c>
      <c r="H5" s="72">
        <v>0.98832414294428961</v>
      </c>
      <c r="I5" s="72">
        <f t="shared" ref="I5:I15" si="0">D5+E5+G5</f>
        <v>1.7074804047661083</v>
      </c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</row>
    <row r="6" spans="1:28" ht="15.6" x14ac:dyDescent="0.3">
      <c r="A6" s="69" t="s">
        <v>350</v>
      </c>
      <c r="B6" s="6">
        <v>4</v>
      </c>
      <c r="C6" s="6">
        <v>36</v>
      </c>
      <c r="D6" s="72">
        <v>1</v>
      </c>
      <c r="E6" s="72">
        <v>0.35700872536108608</v>
      </c>
      <c r="F6" s="6">
        <v>0.4</v>
      </c>
      <c r="G6" s="72">
        <v>0.25798699419593313</v>
      </c>
      <c r="H6" s="72">
        <v>1</v>
      </c>
      <c r="I6" s="72">
        <f t="shared" si="0"/>
        <v>1.6149957195570193</v>
      </c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</row>
    <row r="7" spans="1:28" ht="15.6" x14ac:dyDescent="0.3">
      <c r="A7" s="69" t="s">
        <v>351</v>
      </c>
      <c r="B7" s="6">
        <v>6</v>
      </c>
      <c r="C7" s="6">
        <v>18</v>
      </c>
      <c r="D7" s="72">
        <v>0.72054117625338232</v>
      </c>
      <c r="E7" s="72">
        <v>0.56987532519309225</v>
      </c>
      <c r="F7" s="6">
        <v>0.6</v>
      </c>
      <c r="G7" s="72">
        <v>0.46287117233899322</v>
      </c>
      <c r="H7" s="72">
        <v>0.97346946828470027</v>
      </c>
      <c r="I7" s="72">
        <f t="shared" si="0"/>
        <v>1.7532876737854677</v>
      </c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</row>
    <row r="8" spans="1:28" ht="15.6" x14ac:dyDescent="0.3">
      <c r="A8" s="69" t="s">
        <v>352</v>
      </c>
      <c r="B8" s="6">
        <v>6</v>
      </c>
      <c r="C8" s="6">
        <v>36</v>
      </c>
      <c r="D8" s="72">
        <v>0.81767025906922219</v>
      </c>
      <c r="E8" s="72">
        <v>0.29788267422500531</v>
      </c>
      <c r="F8" s="6">
        <v>0.6</v>
      </c>
      <c r="G8" s="72">
        <v>0.46282030996107609</v>
      </c>
      <c r="H8" s="72">
        <v>0.99236998863603409</v>
      </c>
      <c r="I8" s="72">
        <f t="shared" si="0"/>
        <v>1.5783732432553037</v>
      </c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</row>
    <row r="9" spans="1:28" ht="15.6" x14ac:dyDescent="0.3">
      <c r="A9" s="69" t="s">
        <v>359</v>
      </c>
      <c r="B9" s="6">
        <v>6</v>
      </c>
      <c r="C9" s="6">
        <v>54</v>
      </c>
      <c r="D9" s="72">
        <v>0.91344275810755049</v>
      </c>
      <c r="E9" s="72">
        <v>0.20226896961129195</v>
      </c>
      <c r="F9" s="6">
        <v>0.6</v>
      </c>
      <c r="G9" s="72">
        <v>0.46275162336588205</v>
      </c>
      <c r="H9" s="72">
        <v>0.99901700894648637</v>
      </c>
      <c r="I9" s="72">
        <f t="shared" si="0"/>
        <v>1.5784633510847246</v>
      </c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</row>
    <row r="10" spans="1:28" ht="15.6" x14ac:dyDescent="0.3">
      <c r="A10" s="69" t="s">
        <v>353</v>
      </c>
      <c r="B10" s="6">
        <v>8</v>
      </c>
      <c r="C10" s="6">
        <v>24</v>
      </c>
      <c r="D10" s="72">
        <v>0.63942090860176615</v>
      </c>
      <c r="E10" s="72">
        <v>0.38250071826537946</v>
      </c>
      <c r="F10" s="6">
        <v>0.8</v>
      </c>
      <c r="G10" s="72">
        <v>0.71069051755003587</v>
      </c>
      <c r="H10" s="72">
        <v>0.97228663879171939</v>
      </c>
      <c r="I10" s="72">
        <f t="shared" si="0"/>
        <v>1.7326121444171814</v>
      </c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</row>
    <row r="11" spans="1:28" ht="15.6" x14ac:dyDescent="0.3">
      <c r="A11" s="69" t="s">
        <v>354</v>
      </c>
      <c r="B11" s="6">
        <v>8</v>
      </c>
      <c r="C11" s="6">
        <v>48</v>
      </c>
      <c r="D11" s="72">
        <v>0.75434873281744297</v>
      </c>
      <c r="E11" s="72">
        <v>0.19935383698272846</v>
      </c>
      <c r="F11" s="6">
        <v>0.8</v>
      </c>
      <c r="G11" s="72">
        <v>0.71059726093921327</v>
      </c>
      <c r="H11" s="72">
        <v>0.98501672940822405</v>
      </c>
      <c r="I11" s="72">
        <f t="shared" si="0"/>
        <v>1.6642998307393846</v>
      </c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</row>
    <row r="12" spans="1:28" ht="15.6" x14ac:dyDescent="0.3">
      <c r="A12" s="69" t="s">
        <v>355</v>
      </c>
      <c r="B12" s="6">
        <v>8</v>
      </c>
      <c r="C12" s="6">
        <v>72</v>
      </c>
      <c r="D12" s="72">
        <v>0.85929404115638575</v>
      </c>
      <c r="E12" s="72">
        <v>0.1352388842434577</v>
      </c>
      <c r="F12" s="6">
        <v>0.8</v>
      </c>
      <c r="G12" s="72">
        <v>0.71050182298550668</v>
      </c>
      <c r="H12" s="72">
        <v>0.98947680081267131</v>
      </c>
      <c r="I12" s="72">
        <f t="shared" si="0"/>
        <v>1.7050347483853501</v>
      </c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</row>
    <row r="13" spans="1:28" ht="15.6" x14ac:dyDescent="0.3">
      <c r="A13" s="69" t="s">
        <v>356</v>
      </c>
      <c r="B13" s="6">
        <v>8</v>
      </c>
      <c r="C13" s="6">
        <v>96</v>
      </c>
      <c r="D13" s="72">
        <v>0.95640695859168456</v>
      </c>
      <c r="E13" s="72">
        <v>0.10256282800886515</v>
      </c>
      <c r="F13" s="6">
        <v>0.8</v>
      </c>
      <c r="G13" s="72">
        <v>0.71044728984448025</v>
      </c>
      <c r="H13" s="72">
        <v>0.99175020492113664</v>
      </c>
      <c r="I13" s="72">
        <f t="shared" si="0"/>
        <v>1.7694170764450299</v>
      </c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</row>
    <row r="14" spans="1:28" ht="15.6" x14ac:dyDescent="0.3">
      <c r="A14" s="69" t="s">
        <v>357</v>
      </c>
      <c r="B14" s="6">
        <v>10</v>
      </c>
      <c r="C14" s="6">
        <v>30</v>
      </c>
      <c r="D14" s="72">
        <v>0.58986560232536811</v>
      </c>
      <c r="E14" s="72">
        <v>0.28153741693013223</v>
      </c>
      <c r="F14" s="6">
        <v>1</v>
      </c>
      <c r="G14" s="72">
        <v>1</v>
      </c>
      <c r="H14" s="72">
        <v>0.96272249643051155</v>
      </c>
      <c r="I14" s="72">
        <f t="shared" si="0"/>
        <v>1.8714030192555002</v>
      </c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</row>
    <row r="15" spans="1:28" ht="15.6" x14ac:dyDescent="0.3">
      <c r="A15" s="69" t="s">
        <v>358</v>
      </c>
      <c r="B15" s="6">
        <v>10</v>
      </c>
      <c r="C15" s="6">
        <v>60</v>
      </c>
      <c r="D15" s="72">
        <v>0.72090886953912636</v>
      </c>
      <c r="E15" s="72">
        <v>0.14642043836894741</v>
      </c>
      <c r="F15" s="6">
        <v>1</v>
      </c>
      <c r="G15" s="72">
        <v>0.99989184608202375</v>
      </c>
      <c r="H15" s="72">
        <v>0.9721164014504643</v>
      </c>
      <c r="I15" s="72">
        <f t="shared" si="0"/>
        <v>1.8672211539900974</v>
      </c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</row>
    <row r="16" spans="1:28" ht="15.6" x14ac:dyDescent="0.3">
      <c r="A16" s="69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</row>
    <row r="17" spans="1:28" ht="15.6" x14ac:dyDescent="0.3">
      <c r="A17" s="69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</row>
    <row r="18" spans="1:28" ht="15.6" x14ac:dyDescent="0.3">
      <c r="A18" s="69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</row>
    <row r="19" spans="1:28" ht="15.6" x14ac:dyDescent="0.3">
      <c r="A19" s="69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</row>
    <row r="20" spans="1:28" ht="15.6" x14ac:dyDescent="0.3">
      <c r="A20" s="69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</row>
    <row r="21" spans="1:28" ht="15.6" x14ac:dyDescent="0.3">
      <c r="A21" s="69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</row>
    <row r="22" spans="1:28" ht="15.6" x14ac:dyDescent="0.3">
      <c r="A22" s="69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</row>
    <row r="23" spans="1:28" ht="15.6" x14ac:dyDescent="0.3">
      <c r="A23" s="69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</row>
    <row r="24" spans="1:28" ht="15.6" x14ac:dyDescent="0.3">
      <c r="A24" s="69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</row>
    <row r="25" spans="1:28" ht="15.6" x14ac:dyDescent="0.3">
      <c r="A25" s="69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</row>
    <row r="26" spans="1:28" ht="15.6" x14ac:dyDescent="0.3">
      <c r="A26" s="69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</row>
    <row r="27" spans="1:28" ht="15.6" x14ac:dyDescent="0.3">
      <c r="A27" s="69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</row>
    <row r="28" spans="1:28" ht="15.6" x14ac:dyDescent="0.3">
      <c r="A28" s="69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</row>
    <row r="29" spans="1:28" ht="15.6" x14ac:dyDescent="0.3">
      <c r="A29" s="69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</row>
    <row r="30" spans="1:28" ht="15.6" x14ac:dyDescent="0.3">
      <c r="A30" s="69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</row>
    <row r="31" spans="1:28" ht="15.6" x14ac:dyDescent="0.3">
      <c r="A31" s="69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</row>
    <row r="32" spans="1:28" ht="15.6" x14ac:dyDescent="0.3">
      <c r="A32" s="69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</row>
    <row r="33" spans="1:28" ht="15.6" x14ac:dyDescent="0.3">
      <c r="A33" s="69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</row>
    <row r="34" spans="1:28" ht="15.6" x14ac:dyDescent="0.3">
      <c r="A34" s="69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</row>
    <row r="35" spans="1:28" ht="15.6" x14ac:dyDescent="0.3">
      <c r="A35" s="69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</row>
    <row r="36" spans="1:28" ht="15.6" x14ac:dyDescent="0.3">
      <c r="A36" s="69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</row>
    <row r="37" spans="1:28" ht="15.6" x14ac:dyDescent="0.3">
      <c r="A37" s="69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</row>
    <row r="38" spans="1:28" ht="15.6" x14ac:dyDescent="0.3">
      <c r="A38" s="69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15.6" x14ac:dyDescent="0.3">
      <c r="A39" s="69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</row>
    <row r="40" spans="1:28" ht="15.6" x14ac:dyDescent="0.3">
      <c r="A40" s="69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</row>
    <row r="41" spans="1:28" ht="15.6" x14ac:dyDescent="0.3">
      <c r="A41" s="69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</row>
    <row r="42" spans="1:28" ht="15.6" x14ac:dyDescent="0.3">
      <c r="A42" s="69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</row>
    <row r="43" spans="1:28" ht="15.6" x14ac:dyDescent="0.3">
      <c r="A43" s="69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</row>
    <row r="44" spans="1:28" ht="15.6" x14ac:dyDescent="0.3">
      <c r="A44" s="69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</row>
    <row r="45" spans="1:28" ht="15.6" x14ac:dyDescent="0.3">
      <c r="A45" s="69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</row>
    <row r="46" spans="1:28" ht="15.6" x14ac:dyDescent="0.3">
      <c r="A46" s="69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</row>
    <row r="47" spans="1:28" ht="15.6" x14ac:dyDescent="0.3">
      <c r="A47" s="69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</row>
    <row r="48" spans="1:28" ht="15.6" x14ac:dyDescent="0.3">
      <c r="A48" s="69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</row>
    <row r="49" spans="1:28" ht="15.6" x14ac:dyDescent="0.3">
      <c r="A49" s="69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</row>
    <row r="50" spans="1:28" ht="15.6" x14ac:dyDescent="0.3">
      <c r="A50" s="69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</row>
    <row r="51" spans="1:28" ht="15.6" x14ac:dyDescent="0.3">
      <c r="A51" s="69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</row>
    <row r="52" spans="1:28" ht="15.6" x14ac:dyDescent="0.3">
      <c r="A52" s="69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</row>
    <row r="53" spans="1:28" ht="15.6" x14ac:dyDescent="0.3">
      <c r="A53" s="69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</row>
    <row r="54" spans="1:28" ht="15.6" x14ac:dyDescent="0.3">
      <c r="A54" s="69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</row>
    <row r="55" spans="1:28" ht="15.6" x14ac:dyDescent="0.3">
      <c r="A55" s="69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</row>
    <row r="56" spans="1:28" ht="15.6" x14ac:dyDescent="0.3">
      <c r="A56" s="69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</row>
    <row r="57" spans="1:28" ht="15.6" x14ac:dyDescent="0.3">
      <c r="A57" s="69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</row>
    <row r="58" spans="1:28" ht="15.6" x14ac:dyDescent="0.3">
      <c r="A58" s="69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</row>
    <row r="59" spans="1:28" ht="15.6" x14ac:dyDescent="0.3">
      <c r="A59" s="69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</row>
    <row r="60" spans="1:28" ht="15.6" x14ac:dyDescent="0.3">
      <c r="A60" s="69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</row>
    <row r="61" spans="1:28" ht="15.6" x14ac:dyDescent="0.3">
      <c r="A61" s="69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</row>
    <row r="62" spans="1:28" ht="15.6" x14ac:dyDescent="0.3">
      <c r="A62" s="69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</row>
    <row r="63" spans="1:28" ht="15.6" x14ac:dyDescent="0.3">
      <c r="A63" s="69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</row>
    <row r="64" spans="1:28" ht="15.6" x14ac:dyDescent="0.3">
      <c r="A64" s="69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</row>
    <row r="65" spans="1:28" ht="15.6" x14ac:dyDescent="0.3">
      <c r="A65" s="69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</row>
    <row r="66" spans="1:28" ht="15.6" x14ac:dyDescent="0.3">
      <c r="A66" s="69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</row>
    <row r="67" spans="1:28" ht="15.6" x14ac:dyDescent="0.3">
      <c r="A67" s="69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</row>
    <row r="68" spans="1:28" ht="15.6" x14ac:dyDescent="0.3">
      <c r="A68" s="69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</row>
    <row r="69" spans="1:28" ht="15.6" x14ac:dyDescent="0.3">
      <c r="A69" s="69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</row>
    <row r="70" spans="1:28" ht="15.6" x14ac:dyDescent="0.3">
      <c r="A70" s="69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</row>
    <row r="71" spans="1:28" ht="15.6" x14ac:dyDescent="0.3">
      <c r="A71" s="69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</row>
    <row r="72" spans="1:28" ht="15.6" x14ac:dyDescent="0.3">
      <c r="A72" s="69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</row>
    <row r="73" spans="1:28" ht="15.6" x14ac:dyDescent="0.3">
      <c r="A73" s="69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</row>
    <row r="74" spans="1:28" ht="15.6" x14ac:dyDescent="0.3">
      <c r="A74" s="69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</row>
    <row r="75" spans="1:28" ht="15.6" x14ac:dyDescent="0.3">
      <c r="A75" s="69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</row>
    <row r="76" spans="1:28" ht="15.6" x14ac:dyDescent="0.3">
      <c r="A76" s="69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</row>
    <row r="77" spans="1:28" ht="15.6" x14ac:dyDescent="0.3">
      <c r="A77" s="69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</row>
    <row r="78" spans="1:28" ht="15.6" x14ac:dyDescent="0.3">
      <c r="A78" s="69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</row>
    <row r="79" spans="1:28" ht="15.6" x14ac:dyDescent="0.3">
      <c r="A79" s="69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</row>
    <row r="80" spans="1:28" ht="15.6" x14ac:dyDescent="0.3">
      <c r="A80" s="69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</row>
    <row r="81" spans="1:28" ht="15.6" x14ac:dyDescent="0.3">
      <c r="A81" s="69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</row>
    <row r="82" spans="1:28" ht="15.6" x14ac:dyDescent="0.3">
      <c r="A82" s="69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</row>
    <row r="83" spans="1:28" ht="15.6" x14ac:dyDescent="0.3">
      <c r="A83" s="69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</row>
    <row r="84" spans="1:28" ht="15.6" x14ac:dyDescent="0.3">
      <c r="A84" s="69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</row>
    <row r="85" spans="1:28" ht="15.6" x14ac:dyDescent="0.3">
      <c r="A85" s="69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</row>
    <row r="86" spans="1:28" ht="15.6" x14ac:dyDescent="0.3">
      <c r="A86" s="69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</row>
    <row r="87" spans="1:28" ht="15.6" x14ac:dyDescent="0.3">
      <c r="A87" s="69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</row>
    <row r="88" spans="1:28" ht="15.6" x14ac:dyDescent="0.3">
      <c r="A88" s="69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</row>
    <row r="89" spans="1:28" ht="15.6" x14ac:dyDescent="0.3">
      <c r="A89" s="69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</row>
    <row r="90" spans="1:28" ht="15.6" x14ac:dyDescent="0.3">
      <c r="A90" s="69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</row>
    <row r="91" spans="1:28" ht="15.6" x14ac:dyDescent="0.3">
      <c r="A91" s="69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</row>
    <row r="92" spans="1:28" ht="15.6" x14ac:dyDescent="0.3">
      <c r="A92" s="69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</row>
    <row r="93" spans="1:28" ht="15.6" x14ac:dyDescent="0.3">
      <c r="A93" s="69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</row>
    <row r="94" spans="1:28" ht="15.6" x14ac:dyDescent="0.3">
      <c r="A94" s="69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</row>
    <row r="95" spans="1:28" ht="15.6" x14ac:dyDescent="0.3">
      <c r="A95" s="69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</row>
    <row r="96" spans="1:28" ht="15.6" x14ac:dyDescent="0.3">
      <c r="A96" s="69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</row>
    <row r="97" spans="1:28" ht="15.6" x14ac:dyDescent="0.3">
      <c r="A97" s="69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</row>
    <row r="98" spans="1:28" ht="15.6" x14ac:dyDescent="0.3">
      <c r="A98" s="69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</row>
    <row r="99" spans="1:28" ht="15.6" x14ac:dyDescent="0.3">
      <c r="A99" s="69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</row>
    <row r="100" spans="1:28" ht="15.6" x14ac:dyDescent="0.3">
      <c r="A100" s="69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</row>
    <row r="101" spans="1:28" ht="15.6" x14ac:dyDescent="0.3">
      <c r="A101" s="69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</row>
    <row r="102" spans="1:28" ht="15.6" x14ac:dyDescent="0.3">
      <c r="A102" s="69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</row>
    <row r="103" spans="1:28" ht="15.6" x14ac:dyDescent="0.3">
      <c r="A103" s="69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</row>
    <row r="104" spans="1:28" ht="15.6" x14ac:dyDescent="0.3">
      <c r="A104" s="69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</row>
    <row r="105" spans="1:28" ht="15.6" x14ac:dyDescent="0.3">
      <c r="A105" s="69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</row>
    <row r="106" spans="1:28" ht="15.6" x14ac:dyDescent="0.3">
      <c r="A106" s="69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</row>
    <row r="107" spans="1:28" ht="15.6" x14ac:dyDescent="0.3">
      <c r="A107" s="69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</row>
    <row r="108" spans="1:28" ht="15.6" x14ac:dyDescent="0.3">
      <c r="A108" s="69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</row>
    <row r="109" spans="1:28" ht="15.6" x14ac:dyDescent="0.3">
      <c r="A109" s="69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</row>
  </sheetData>
  <sheetProtection algorithmName="SHA-512" hashValue="pK4umS9avhavGuiLv92SSpVqSKfy+4UUht4uH+hjMoLfpSsleVy+r2PIG8sAGUYTzzmbysl4LqmcGyNEdWzKRQ==" saltValue="AhLhb8RwxM3ggwpNKB1T/Q==" spinCount="100000" sheet="1" objects="1" scenarios="1"/>
  <phoneticPr fontId="15" type="noConversion"/>
  <pageMargins left="0.7" right="0.7" top="0.75" bottom="0.75" header="0.3" footer="0.3"/>
  <pageSetup orientation="portrait" r:id="rId1"/>
  <headerFooter>
    <oddHeader>&amp;L&amp;"-,Bold"&amp;15Design &amp; Analysis of IPMSM using FEM&amp;R&amp;12- By Mohana Segaran B
[immohanasegaran30@gmail.com]</oddHeader>
    <oddFooter>&amp;L&amp;12This work is licensed under the Creative Commons Attribution 4.0 International License. To view a copy of this license, visit https://creativecommons.org/licenses/by/4.0/.
Copyright © 2025 Mohana Segaran B.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6AA02C-F38E-425B-818F-FAAFE21EE51E}">
  <sheetPr codeName="Sheet7"/>
  <dimension ref="A1:AD91"/>
  <sheetViews>
    <sheetView tabSelected="1" zoomScale="130" zoomScaleNormal="130" workbookViewId="0">
      <selection activeCell="D6" sqref="D6"/>
    </sheetView>
  </sheetViews>
  <sheetFormatPr defaultRowHeight="15.6" x14ac:dyDescent="0.3"/>
  <cols>
    <col min="1" max="1" width="27" style="6" customWidth="1"/>
    <col min="2" max="2" width="13.33203125" style="82" bestFit="1" customWidth="1"/>
    <col min="3" max="3" width="7.88671875" style="6" bestFit="1" customWidth="1"/>
    <col min="4" max="4" width="55.44140625" style="6" bestFit="1" customWidth="1"/>
    <col min="5" max="5" width="3.77734375" style="85" customWidth="1"/>
    <col min="6" max="6" width="26.109375" style="6" customWidth="1"/>
    <col min="7" max="7" width="13.33203125" style="82" bestFit="1" customWidth="1"/>
    <col min="8" max="8" width="7.88671875" style="6" bestFit="1" customWidth="1"/>
    <col min="9" max="9" width="65" style="6" bestFit="1" customWidth="1"/>
    <col min="10" max="10" width="4.21875" style="85" customWidth="1"/>
    <col min="11" max="11" width="25.77734375" style="6" customWidth="1"/>
    <col min="12" max="12" width="10.44140625" style="82" bestFit="1" customWidth="1"/>
    <col min="13" max="13" width="12.109375" style="6" bestFit="1" customWidth="1"/>
    <col min="14" max="14" width="44.21875" style="6" bestFit="1" customWidth="1"/>
    <col min="15" max="15" width="4.33203125" style="85" customWidth="1"/>
    <col min="16" max="16" width="28.88671875" style="6" customWidth="1"/>
    <col min="17" max="17" width="7.109375" style="82" bestFit="1" customWidth="1"/>
    <col min="18" max="18" width="6.109375" style="6" bestFit="1" customWidth="1"/>
    <col min="19" max="19" width="60.109375" style="6" bestFit="1" customWidth="1"/>
    <col min="20" max="20" width="3.6640625" style="85" customWidth="1"/>
    <col min="21" max="21" width="44.88671875" style="6" customWidth="1"/>
    <col min="22" max="22" width="13.33203125" style="82" bestFit="1" customWidth="1"/>
    <col min="23" max="23" width="5.88671875" style="6" bestFit="1" customWidth="1"/>
    <col min="24" max="24" width="41.21875" style="6" bestFit="1" customWidth="1"/>
    <col min="25" max="25" width="4.109375" style="85" customWidth="1"/>
    <col min="26" max="26" width="24.21875" style="6" customWidth="1"/>
    <col min="27" max="27" width="13.33203125" style="82" bestFit="1" customWidth="1"/>
    <col min="28" max="28" width="8.109375" style="6" bestFit="1" customWidth="1"/>
    <col min="29" max="29" width="43.5546875" style="6" bestFit="1" customWidth="1"/>
    <col min="30" max="30" width="4.6640625" style="85" customWidth="1"/>
    <col min="31" max="16384" width="8.88671875" style="6"/>
  </cols>
  <sheetData>
    <row r="1" spans="1:29" s="87" customFormat="1" ht="21" x14ac:dyDescent="0.4">
      <c r="A1" s="86" t="s">
        <v>317</v>
      </c>
      <c r="F1" s="87" t="s">
        <v>318</v>
      </c>
      <c r="K1" s="87" t="s">
        <v>335</v>
      </c>
      <c r="P1" s="87" t="s">
        <v>319</v>
      </c>
      <c r="U1" s="87" t="s">
        <v>320</v>
      </c>
      <c r="Z1" s="87" t="s">
        <v>336</v>
      </c>
    </row>
    <row r="2" spans="1:29" s="88" customFormat="1" ht="18" x14ac:dyDescent="0.35">
      <c r="A2" s="88" t="s">
        <v>0</v>
      </c>
      <c r="B2" s="88" t="s">
        <v>1</v>
      </c>
      <c r="C2" s="88" t="s">
        <v>13</v>
      </c>
      <c r="D2" s="88" t="s">
        <v>3</v>
      </c>
      <c r="F2" s="88" t="s">
        <v>0</v>
      </c>
      <c r="G2" s="88" t="s">
        <v>1</v>
      </c>
      <c r="H2" s="88" t="s">
        <v>13</v>
      </c>
      <c r="I2" s="88" t="s">
        <v>3</v>
      </c>
      <c r="K2" s="88" t="s">
        <v>0</v>
      </c>
      <c r="L2" s="88" t="s">
        <v>1</v>
      </c>
      <c r="M2" s="88" t="s">
        <v>13</v>
      </c>
      <c r="N2" s="88" t="s">
        <v>3</v>
      </c>
      <c r="P2" s="88" t="s">
        <v>0</v>
      </c>
      <c r="Q2" s="88" t="s">
        <v>1</v>
      </c>
      <c r="R2" s="88" t="s">
        <v>2</v>
      </c>
      <c r="S2" s="88" t="s">
        <v>3</v>
      </c>
      <c r="U2" s="88" t="s">
        <v>0</v>
      </c>
      <c r="V2" s="88" t="s">
        <v>1</v>
      </c>
      <c r="W2" s="88" t="s">
        <v>13</v>
      </c>
      <c r="X2" s="88" t="s">
        <v>3</v>
      </c>
      <c r="Z2" s="88" t="s">
        <v>0</v>
      </c>
      <c r="AA2" s="88" t="s">
        <v>1</v>
      </c>
      <c r="AB2" s="88" t="s">
        <v>13</v>
      </c>
      <c r="AC2" s="88" t="s">
        <v>3</v>
      </c>
    </row>
    <row r="3" spans="1:29" x14ac:dyDescent="0.3">
      <c r="A3" s="6" t="s">
        <v>18</v>
      </c>
      <c r="B3" s="81">
        <f>Rated_values!G7</f>
        <v>130.76565246359999</v>
      </c>
      <c r="C3" s="6" t="s">
        <v>4</v>
      </c>
      <c r="D3" s="6" t="s">
        <v>17</v>
      </c>
      <c r="F3" s="6" t="s">
        <v>290</v>
      </c>
      <c r="G3" s="81">
        <f>B3/(B16*B17)</f>
        <v>152.94228358315789</v>
      </c>
      <c r="H3" s="6" t="s">
        <v>38</v>
      </c>
      <c r="I3" s="6" t="s">
        <v>30</v>
      </c>
      <c r="K3" s="6" t="s">
        <v>120</v>
      </c>
      <c r="L3" s="82">
        <f>(L4*B9)/(3*B11)</f>
        <v>8</v>
      </c>
      <c r="N3" s="6" t="s">
        <v>262</v>
      </c>
      <c r="P3" s="6" t="s">
        <v>17</v>
      </c>
      <c r="Q3" s="82">
        <v>110</v>
      </c>
      <c r="R3" s="6" t="s">
        <v>4</v>
      </c>
      <c r="S3" s="6" t="s">
        <v>5</v>
      </c>
      <c r="U3" s="6" t="s">
        <v>410</v>
      </c>
      <c r="V3" s="81">
        <f>Q4*0.104719755</f>
        <v>502.65482399999996</v>
      </c>
      <c r="W3" s="6" t="s">
        <v>14</v>
      </c>
      <c r="X3" s="6" t="s">
        <v>20</v>
      </c>
      <c r="Z3" s="6" t="s">
        <v>240</v>
      </c>
      <c r="AA3" s="82">
        <f>Main_dimensions!$G$55</f>
        <v>1.256637061E-6</v>
      </c>
      <c r="AB3" s="6" t="s">
        <v>241</v>
      </c>
      <c r="AC3" s="6" t="s">
        <v>242</v>
      </c>
    </row>
    <row r="4" spans="1:29" x14ac:dyDescent="0.3">
      <c r="A4" s="6" t="s">
        <v>19</v>
      </c>
      <c r="B4" s="82">
        <f>Rated_values!G5/ 0.104719755</f>
        <v>5280</v>
      </c>
      <c r="C4" s="6" t="s">
        <v>6</v>
      </c>
      <c r="D4" s="6" t="s">
        <v>19</v>
      </c>
      <c r="F4" s="6" t="s">
        <v>291</v>
      </c>
      <c r="G4" s="81">
        <f>B3/B16</f>
        <v>137.6480552248421</v>
      </c>
      <c r="H4" s="6" t="s">
        <v>4</v>
      </c>
      <c r="I4" s="6" t="s">
        <v>39</v>
      </c>
      <c r="K4" s="6" t="s">
        <v>121</v>
      </c>
      <c r="L4" s="82">
        <v>4</v>
      </c>
      <c r="N4" s="6" t="s">
        <v>263</v>
      </c>
      <c r="P4" s="6" t="s">
        <v>19</v>
      </c>
      <c r="Q4" s="82">
        <v>4800</v>
      </c>
      <c r="R4" s="6" t="s">
        <v>6</v>
      </c>
      <c r="S4" s="6" t="s">
        <v>24</v>
      </c>
      <c r="Z4" s="6" t="s">
        <v>267</v>
      </c>
      <c r="AA4" s="82">
        <v>1.7199999999999999E-8</v>
      </c>
      <c r="AB4" s="6" t="s">
        <v>245</v>
      </c>
      <c r="AC4" s="6" t="s">
        <v>244</v>
      </c>
    </row>
    <row r="5" spans="1:29" x14ac:dyDescent="0.3">
      <c r="A5" s="6" t="s">
        <v>477</v>
      </c>
      <c r="B5" s="81">
        <f>Rated_values!G9</f>
        <v>218.14527042317465</v>
      </c>
      <c r="C5" s="6" t="s">
        <v>10</v>
      </c>
      <c r="D5" s="6" t="s">
        <v>22</v>
      </c>
      <c r="F5" s="6" t="s">
        <v>25</v>
      </c>
      <c r="G5" s="82">
        <f>B4/60</f>
        <v>88</v>
      </c>
      <c r="H5" s="6" t="s">
        <v>27</v>
      </c>
      <c r="I5" s="6" t="s">
        <v>75</v>
      </c>
      <c r="P5" s="6" t="s">
        <v>7</v>
      </c>
      <c r="Q5" s="82">
        <v>215</v>
      </c>
      <c r="R5" s="6" t="s">
        <v>8</v>
      </c>
      <c r="S5" s="6" t="s">
        <v>9</v>
      </c>
      <c r="U5" s="6" t="s">
        <v>397</v>
      </c>
      <c r="V5" s="81">
        <f>(0.1*V3)+V3</f>
        <v>552.92030639999996</v>
      </c>
      <c r="W5" s="6" t="s">
        <v>14</v>
      </c>
      <c r="Z5" s="6" t="s">
        <v>246</v>
      </c>
      <c r="AA5" s="82">
        <v>3.9300000000000003E-3</v>
      </c>
      <c r="AC5" s="6" t="s">
        <v>247</v>
      </c>
    </row>
    <row r="6" spans="1:29" x14ac:dyDescent="0.3">
      <c r="A6" s="6" t="s">
        <v>35</v>
      </c>
      <c r="B6" s="92" t="s">
        <v>36</v>
      </c>
      <c r="D6" s="6" t="s">
        <v>37</v>
      </c>
      <c r="F6" s="6" t="s">
        <v>40</v>
      </c>
      <c r="G6" s="82">
        <f>Rated_values!G6</f>
        <v>236.5</v>
      </c>
      <c r="H6" s="6" t="s">
        <v>8</v>
      </c>
      <c r="I6" s="6" t="s">
        <v>26</v>
      </c>
      <c r="K6" s="6" t="s">
        <v>190</v>
      </c>
      <c r="L6" s="81">
        <f>G16*1000/(4.44*B19*G15*L3)</f>
        <v>13.002349300667085</v>
      </c>
      <c r="M6" s="6" t="s">
        <v>86</v>
      </c>
      <c r="N6" s="6" t="s">
        <v>89</v>
      </c>
      <c r="U6" s="6" t="s">
        <v>15</v>
      </c>
      <c r="V6" s="82">
        <f>(0.1*Q5)+Q5</f>
        <v>236.5</v>
      </c>
      <c r="W6" s="6" t="s">
        <v>8</v>
      </c>
    </row>
    <row r="7" spans="1:29" x14ac:dyDescent="0.3">
      <c r="F7" s="6" t="s">
        <v>47</v>
      </c>
      <c r="G7" s="81">
        <f>G4*1000/(SQRT(3)*B5*B17)</f>
        <v>404.78195298902801</v>
      </c>
      <c r="H7" s="6" t="s">
        <v>41</v>
      </c>
      <c r="I7" s="6" t="s">
        <v>42</v>
      </c>
      <c r="K7" s="6" t="s">
        <v>191</v>
      </c>
      <c r="L7" s="81">
        <f>L6*B8</f>
        <v>78.014095804002508</v>
      </c>
      <c r="M7" s="6" t="s">
        <v>86</v>
      </c>
      <c r="N7" s="6" t="s">
        <v>87</v>
      </c>
      <c r="P7" s="6" t="s">
        <v>15</v>
      </c>
      <c r="Q7" s="82">
        <v>0.1</v>
      </c>
      <c r="S7" s="6" t="s">
        <v>23</v>
      </c>
      <c r="U7" s="6" t="s">
        <v>16</v>
      </c>
      <c r="V7" s="81">
        <f>(V6*V5)/1000</f>
        <v>130.76565246359999</v>
      </c>
      <c r="W7" s="6" t="s">
        <v>4</v>
      </c>
      <c r="Z7" s="6" t="s">
        <v>248</v>
      </c>
      <c r="AA7" s="82">
        <v>8940</v>
      </c>
      <c r="AB7" s="6" t="s">
        <v>254</v>
      </c>
      <c r="AC7" s="6" t="s">
        <v>251</v>
      </c>
    </row>
    <row r="8" spans="1:29" x14ac:dyDescent="0.3">
      <c r="A8" s="6" t="s">
        <v>8</v>
      </c>
      <c r="B8" s="82">
        <v>6</v>
      </c>
      <c r="D8" s="6" t="s">
        <v>48</v>
      </c>
      <c r="K8" s="6" t="s">
        <v>192</v>
      </c>
      <c r="L8" s="81">
        <f>(L6/2)*SIN((PI()*8)/48)</f>
        <v>3.2505873251667707</v>
      </c>
      <c r="M8" s="6" t="s">
        <v>86</v>
      </c>
      <c r="N8" s="6" t="s">
        <v>193</v>
      </c>
      <c r="P8" s="6" t="s">
        <v>398</v>
      </c>
      <c r="Q8" s="82">
        <v>0.1</v>
      </c>
      <c r="S8" s="6" t="s">
        <v>399</v>
      </c>
      <c r="Z8" s="6" t="s">
        <v>250</v>
      </c>
      <c r="AA8" s="82">
        <v>7850</v>
      </c>
      <c r="AB8" s="6" t="s">
        <v>254</v>
      </c>
      <c r="AC8" s="6" t="s">
        <v>252</v>
      </c>
    </row>
    <row r="9" spans="1:29" x14ac:dyDescent="0.3">
      <c r="A9" s="6" t="s">
        <v>343</v>
      </c>
      <c r="B9" s="82">
        <v>54</v>
      </c>
      <c r="D9" s="6" t="s">
        <v>49</v>
      </c>
      <c r="F9" s="6" t="s">
        <v>43</v>
      </c>
      <c r="G9" s="81">
        <f>G7</f>
        <v>404.78195298902801</v>
      </c>
      <c r="H9" s="6" t="s">
        <v>41</v>
      </c>
      <c r="I9" s="6" t="s">
        <v>44</v>
      </c>
      <c r="K9" s="6" t="s">
        <v>414</v>
      </c>
      <c r="U9" s="6" t="s">
        <v>21</v>
      </c>
      <c r="V9" s="81">
        <f>V10*(Q10-Q11)/SQRT(2)</f>
        <v>218.14527042317465</v>
      </c>
      <c r="W9" s="6" t="s">
        <v>10</v>
      </c>
      <c r="X9" s="6" t="s">
        <v>22</v>
      </c>
      <c r="Z9" s="6" t="s">
        <v>249</v>
      </c>
      <c r="AA9" s="82">
        <v>7550</v>
      </c>
      <c r="AB9" s="6" t="s">
        <v>254</v>
      </c>
      <c r="AC9" s="6" t="s">
        <v>253</v>
      </c>
    </row>
    <row r="10" spans="1:29" x14ac:dyDescent="0.3">
      <c r="A10" s="6" t="s">
        <v>50</v>
      </c>
      <c r="B10" s="82">
        <f>B9/(3*B8)</f>
        <v>3</v>
      </c>
      <c r="D10" s="6" t="s">
        <v>51</v>
      </c>
      <c r="F10" s="6" t="s">
        <v>45</v>
      </c>
      <c r="G10" s="81">
        <f>B5/SQRT(3)</f>
        <v>125.94623060126359</v>
      </c>
      <c r="H10" s="6" t="s">
        <v>10</v>
      </c>
      <c r="I10" s="6" t="s">
        <v>46</v>
      </c>
      <c r="K10" s="6" t="s">
        <v>80</v>
      </c>
      <c r="L10" s="82">
        <f>_xlfn.CEILING.MATH((G30*L6)/G33)</f>
        <v>250</v>
      </c>
      <c r="M10" s="6" t="s">
        <v>78</v>
      </c>
      <c r="N10" s="6" t="s">
        <v>194</v>
      </c>
      <c r="P10" s="6" t="s">
        <v>11</v>
      </c>
      <c r="Q10" s="82">
        <v>332.8</v>
      </c>
      <c r="R10" s="6" t="s">
        <v>10</v>
      </c>
      <c r="S10" s="6" t="s">
        <v>12</v>
      </c>
      <c r="U10" s="6" t="s">
        <v>313</v>
      </c>
      <c r="V10" s="82">
        <v>0.98</v>
      </c>
      <c r="X10" s="6" t="s">
        <v>314</v>
      </c>
    </row>
    <row r="11" spans="1:29" x14ac:dyDescent="0.3">
      <c r="A11" s="6" t="s">
        <v>346</v>
      </c>
      <c r="B11" s="82">
        <f>B14/B12</f>
        <v>9</v>
      </c>
      <c r="D11" s="6" t="s">
        <v>56</v>
      </c>
      <c r="F11" s="6" t="s">
        <v>57</v>
      </c>
      <c r="G11" s="81">
        <f>G9/B11</f>
        <v>44.975772554336444</v>
      </c>
      <c r="H11" s="6" t="s">
        <v>41</v>
      </c>
      <c r="I11" s="6" t="s">
        <v>58</v>
      </c>
      <c r="K11" s="6" t="s">
        <v>195</v>
      </c>
      <c r="L11" s="82">
        <f>_xlfn.CEILING.MATH(L10/B44)</f>
        <v>500</v>
      </c>
      <c r="N11" s="6" t="s">
        <v>196</v>
      </c>
      <c r="P11" s="6" t="s">
        <v>311</v>
      </c>
      <c r="Q11" s="82">
        <v>18</v>
      </c>
      <c r="R11" s="6" t="s">
        <v>10</v>
      </c>
      <c r="S11" s="6" t="s">
        <v>312</v>
      </c>
      <c r="Z11" s="6" t="s">
        <v>266</v>
      </c>
      <c r="AA11" s="82">
        <f>AA4*(1+AA5*(Main_dimensions!Y57+Main_dimensions!Y58-20))</f>
        <v>1.584808E-8</v>
      </c>
      <c r="AB11" s="6" t="s">
        <v>245</v>
      </c>
      <c r="AC11" s="6" t="s">
        <v>255</v>
      </c>
    </row>
    <row r="12" spans="1:29" x14ac:dyDescent="0.3">
      <c r="A12" s="6" t="s">
        <v>407</v>
      </c>
      <c r="B12" s="82">
        <v>2</v>
      </c>
      <c r="D12" s="6" t="s">
        <v>406</v>
      </c>
      <c r="F12" s="6" t="s">
        <v>60</v>
      </c>
      <c r="G12" s="81">
        <f>(G10*B11)/(B9/3)</f>
        <v>62.973115300631804</v>
      </c>
      <c r="H12" s="6" t="s">
        <v>10</v>
      </c>
      <c r="I12" s="6" t="s">
        <v>59</v>
      </c>
    </row>
    <row r="13" spans="1:29" x14ac:dyDescent="0.3">
      <c r="A13" s="6" t="s">
        <v>55</v>
      </c>
      <c r="B13" s="82">
        <v>2</v>
      </c>
      <c r="D13" s="6" t="s">
        <v>52</v>
      </c>
      <c r="F13" s="6" t="s">
        <v>432</v>
      </c>
      <c r="G13" s="81">
        <f>SQRT(2)*G9</f>
        <v>572.44812772095202</v>
      </c>
      <c r="H13" s="6" t="s">
        <v>41</v>
      </c>
      <c r="I13" s="6" t="s">
        <v>433</v>
      </c>
      <c r="K13" s="6" t="s">
        <v>201</v>
      </c>
      <c r="L13" s="82">
        <f>Standard_Wire_Gauge!F5</f>
        <v>11</v>
      </c>
      <c r="N13" s="6" t="s">
        <v>292</v>
      </c>
    </row>
    <row r="14" spans="1:29" x14ac:dyDescent="0.3">
      <c r="A14" s="6" t="s">
        <v>347</v>
      </c>
      <c r="B14" s="82">
        <f>G23/3</f>
        <v>18</v>
      </c>
      <c r="D14" s="6" t="s">
        <v>54</v>
      </c>
      <c r="G14" s="81"/>
      <c r="K14" s="6" t="s">
        <v>199</v>
      </c>
      <c r="L14" s="82">
        <f>Standard_Wire_Gauge!F7</f>
        <v>6.8182999999999998</v>
      </c>
      <c r="M14" s="6" t="s">
        <v>131</v>
      </c>
      <c r="N14" s="6" t="s">
        <v>293</v>
      </c>
    </row>
    <row r="15" spans="1:29" x14ac:dyDescent="0.3">
      <c r="F15" s="6" t="s">
        <v>400</v>
      </c>
      <c r="G15" s="81">
        <f>(B4*B8)/120</f>
        <v>264</v>
      </c>
      <c r="H15" s="6" t="s">
        <v>29</v>
      </c>
      <c r="I15" s="6" t="s">
        <v>28</v>
      </c>
      <c r="K15" s="6" t="s">
        <v>200</v>
      </c>
      <c r="L15" s="82">
        <f>Standard_Wire_Gauge!F6</f>
        <v>2.9460000000000002</v>
      </c>
      <c r="M15" s="6" t="s">
        <v>78</v>
      </c>
      <c r="N15" s="6" t="s">
        <v>294</v>
      </c>
    </row>
    <row r="16" spans="1:29" x14ac:dyDescent="0.3">
      <c r="A16" s="6" t="s">
        <v>31</v>
      </c>
      <c r="B16" s="82">
        <v>0.95</v>
      </c>
      <c r="D16" s="6" t="s">
        <v>32</v>
      </c>
      <c r="F16" s="6" t="s">
        <v>119</v>
      </c>
      <c r="G16" s="81">
        <f>B25*G10</f>
        <v>114.61106984714988</v>
      </c>
      <c r="H16" s="6" t="s">
        <v>10</v>
      </c>
      <c r="I16" s="6" t="s">
        <v>118</v>
      </c>
    </row>
    <row r="17" spans="1:14" x14ac:dyDescent="0.3">
      <c r="A17" s="6" t="s">
        <v>33</v>
      </c>
      <c r="B17" s="82">
        <v>0.9</v>
      </c>
      <c r="D17" s="6" t="s">
        <v>34</v>
      </c>
      <c r="F17" s="6" t="s">
        <v>419</v>
      </c>
      <c r="G17" s="81">
        <f>SQRT(3)*G16</f>
        <v>198.51219608508893</v>
      </c>
      <c r="H17" s="6" t="s">
        <v>10</v>
      </c>
      <c r="I17" s="6" t="s">
        <v>420</v>
      </c>
      <c r="K17" s="6" t="s">
        <v>136</v>
      </c>
      <c r="L17" s="82">
        <f>Standard_Wire_Gauge!F7</f>
        <v>6.8182999999999998</v>
      </c>
      <c r="M17" s="6" t="s">
        <v>131</v>
      </c>
      <c r="N17" s="6" t="s">
        <v>259</v>
      </c>
    </row>
    <row r="18" spans="1:14" x14ac:dyDescent="0.3">
      <c r="F18" s="6" t="s">
        <v>122</v>
      </c>
      <c r="G18" s="81">
        <f>G16/(4.44*G15*G33*0.001*B19)</f>
        <v>5.8955538781958712</v>
      </c>
      <c r="I18" s="6" t="s">
        <v>124</v>
      </c>
      <c r="K18" s="6" t="s">
        <v>137</v>
      </c>
      <c r="L18" s="82">
        <f>L4*L17</f>
        <v>27.273199999999999</v>
      </c>
      <c r="M18" s="6" t="s">
        <v>131</v>
      </c>
      <c r="N18" s="6" t="s">
        <v>260</v>
      </c>
    </row>
    <row r="19" spans="1:14" x14ac:dyDescent="0.3">
      <c r="A19" s="6" t="s">
        <v>61</v>
      </c>
      <c r="B19" s="82">
        <v>0.94</v>
      </c>
      <c r="D19" s="6" t="s">
        <v>62</v>
      </c>
      <c r="F19" s="6" t="s">
        <v>123</v>
      </c>
      <c r="G19" s="81">
        <f>(G18*3*B11)/B9</f>
        <v>2.9477769390979356</v>
      </c>
      <c r="I19" s="6" t="s">
        <v>125</v>
      </c>
      <c r="K19" s="6" t="s">
        <v>138</v>
      </c>
      <c r="L19" s="83">
        <f>L18/B26</f>
        <v>47.022758620689658</v>
      </c>
      <c r="M19" s="6" t="s">
        <v>131</v>
      </c>
      <c r="N19" s="6" t="s">
        <v>261</v>
      </c>
    </row>
    <row r="20" spans="1:14" x14ac:dyDescent="0.3">
      <c r="A20" s="6" t="s">
        <v>306</v>
      </c>
      <c r="B20" s="82">
        <v>0.9</v>
      </c>
      <c r="C20" s="6" t="s">
        <v>64</v>
      </c>
      <c r="D20" s="6" t="s">
        <v>307</v>
      </c>
      <c r="F20" s="6" t="s">
        <v>129</v>
      </c>
      <c r="G20" s="81">
        <f>G11/B40</f>
        <v>6.4251103649052066</v>
      </c>
      <c r="H20" s="6" t="s">
        <v>131</v>
      </c>
      <c r="I20" s="6" t="s">
        <v>130</v>
      </c>
    </row>
    <row r="21" spans="1:14" x14ac:dyDescent="0.3">
      <c r="A21" s="6" t="s">
        <v>63</v>
      </c>
      <c r="B21" s="81">
        <f>(2/PI())*B20</f>
        <v>0.57295779513082323</v>
      </c>
      <c r="C21" s="6" t="s">
        <v>64</v>
      </c>
      <c r="D21" s="6" t="s">
        <v>65</v>
      </c>
      <c r="F21" s="6" t="s">
        <v>132</v>
      </c>
      <c r="G21" s="82">
        <f>G19*G20</f>
        <v>18.939792164826692</v>
      </c>
      <c r="H21" s="6" t="s">
        <v>131</v>
      </c>
      <c r="I21" s="6" t="s">
        <v>133</v>
      </c>
      <c r="K21" s="6" t="s">
        <v>139</v>
      </c>
      <c r="L21" s="82" cm="1">
        <f t="array" ref="L21">calculate_hs2(G28,B33,B34,G37,B9,G41,L19)</f>
        <v>16.997883433995241</v>
      </c>
      <c r="M21" s="6" t="s">
        <v>78</v>
      </c>
      <c r="N21" s="6" t="s">
        <v>98</v>
      </c>
    </row>
    <row r="22" spans="1:14" x14ac:dyDescent="0.3">
      <c r="A22" s="6" t="s">
        <v>66</v>
      </c>
      <c r="B22" s="82">
        <v>25</v>
      </c>
      <c r="C22" s="6" t="s">
        <v>67</v>
      </c>
      <c r="D22" s="6" t="s">
        <v>68</v>
      </c>
      <c r="F22" s="6" t="s">
        <v>134</v>
      </c>
      <c r="G22" s="82">
        <f>G21/B26</f>
        <v>32.654814077287405</v>
      </c>
      <c r="H22" s="6" t="s">
        <v>131</v>
      </c>
      <c r="I22" s="6" t="s">
        <v>135</v>
      </c>
      <c r="K22" s="6" t="s">
        <v>379</v>
      </c>
      <c r="L22" s="81">
        <f>L21-L23</f>
        <v>13.920914968442878</v>
      </c>
      <c r="M22" s="6" t="s">
        <v>78</v>
      </c>
    </row>
    <row r="23" spans="1:14" x14ac:dyDescent="0.3">
      <c r="F23" s="6" t="s">
        <v>403</v>
      </c>
      <c r="G23" s="82">
        <f>(B9/2)*B13</f>
        <v>54</v>
      </c>
      <c r="I23" s="6" t="s">
        <v>404</v>
      </c>
      <c r="K23" s="6" t="s">
        <v>378</v>
      </c>
      <c r="L23" s="81">
        <f>(TAN(G45)*(G28/2+B33+B34+L21)-G37/(2*COS(G45)))/(SIN(G47)+TAN(G45)*(1+COS(G47)))</f>
        <v>3.0769684655523633</v>
      </c>
      <c r="M23" s="6" t="s">
        <v>78</v>
      </c>
    </row>
    <row r="24" spans="1:14" x14ac:dyDescent="0.3">
      <c r="A24" s="6" t="s">
        <v>76</v>
      </c>
      <c r="B24" s="82">
        <v>3.7</v>
      </c>
      <c r="D24" s="6" t="s">
        <v>92</v>
      </c>
      <c r="F24" s="6" t="s">
        <v>405</v>
      </c>
      <c r="G24" s="81">
        <f>G23/(B8*3)</f>
        <v>3</v>
      </c>
      <c r="I24" s="6" t="s">
        <v>53</v>
      </c>
      <c r="K24" s="6" t="s">
        <v>140</v>
      </c>
      <c r="L24" s="81" cm="1">
        <f t="array" ref="L24">calculate_bs2(G41,L21,L19)</f>
        <v>6.522792072906455</v>
      </c>
      <c r="M24" s="6" t="s">
        <v>78</v>
      </c>
      <c r="N24" s="6" t="s">
        <v>141</v>
      </c>
    </row>
    <row r="25" spans="1:14" x14ac:dyDescent="0.3">
      <c r="A25" s="6" t="s">
        <v>116</v>
      </c>
      <c r="B25" s="82">
        <v>0.91</v>
      </c>
      <c r="D25" s="6" t="s">
        <v>117</v>
      </c>
      <c r="L25" s="81"/>
    </row>
    <row r="26" spans="1:14" x14ac:dyDescent="0.3">
      <c r="A26" s="6" t="s">
        <v>126</v>
      </c>
      <c r="B26" s="82">
        <v>0.57999999999999996</v>
      </c>
      <c r="D26" s="6" t="s">
        <v>127</v>
      </c>
      <c r="F26" s="6" t="s">
        <v>69</v>
      </c>
      <c r="G26" s="82">
        <f>1.111*PI()^2*B19*B21*B22</f>
        <v>147.64008923324837</v>
      </c>
      <c r="H26" s="6" t="s">
        <v>71</v>
      </c>
      <c r="I26" s="6" t="s">
        <v>70</v>
      </c>
      <c r="K26" s="6" t="s">
        <v>309</v>
      </c>
      <c r="L26" s="82">
        <f>_xlfn.CEILING.MATH(G28+2*(B33+B34+L21+G38))</f>
        <v>253</v>
      </c>
      <c r="M26" s="6" t="s">
        <v>78</v>
      </c>
      <c r="N26" s="6" t="s">
        <v>218</v>
      </c>
    </row>
    <row r="27" spans="1:14" x14ac:dyDescent="0.3">
      <c r="A27" s="6" t="s">
        <v>84</v>
      </c>
      <c r="B27" s="81">
        <f>(B24*PI())/B8</f>
        <v>1.9373154697137058</v>
      </c>
      <c r="D27" s="6" t="s">
        <v>93</v>
      </c>
      <c r="F27" s="6" t="s">
        <v>72</v>
      </c>
      <c r="G27" s="82">
        <f>B3*1000000000/(G26*G5)</f>
        <v>10064836.259360377</v>
      </c>
      <c r="H27" s="6" t="s">
        <v>73</v>
      </c>
      <c r="I27" s="6" t="s">
        <v>74</v>
      </c>
      <c r="K27" s="6" t="s">
        <v>217</v>
      </c>
      <c r="L27" s="82">
        <f>_xlfn.CEILING.MATH(G28-2*(B29+G75+G65+G39))</f>
        <v>92</v>
      </c>
      <c r="M27" s="6" t="s">
        <v>78</v>
      </c>
      <c r="N27" s="6" t="s">
        <v>219</v>
      </c>
    </row>
    <row r="28" spans="1:14" x14ac:dyDescent="0.3">
      <c r="F28" s="6" t="s">
        <v>79</v>
      </c>
      <c r="G28" s="81">
        <f>_xlfn.CEILING.MATH((G27/B27)^(1/3))</f>
        <v>174</v>
      </c>
      <c r="H28" s="6" t="s">
        <v>78</v>
      </c>
      <c r="I28" s="6" t="s">
        <v>77</v>
      </c>
      <c r="K28" s="6" t="s">
        <v>310</v>
      </c>
      <c r="L28" s="82">
        <f>L26/L10</f>
        <v>1.012</v>
      </c>
      <c r="N28" s="6" t="s">
        <v>220</v>
      </c>
    </row>
    <row r="29" spans="1:14" x14ac:dyDescent="0.3">
      <c r="A29" s="6" t="s">
        <v>90</v>
      </c>
      <c r="B29" s="82">
        <v>0.7</v>
      </c>
      <c r="C29" s="6" t="s">
        <v>78</v>
      </c>
      <c r="D29" s="6" t="s">
        <v>91</v>
      </c>
      <c r="F29" s="6" t="s">
        <v>82</v>
      </c>
      <c r="G29" s="82">
        <f>(PI()*G28)/B8</f>
        <v>91.10618695410399</v>
      </c>
      <c r="H29" s="6" t="s">
        <v>78</v>
      </c>
      <c r="I29" s="6" t="s">
        <v>83</v>
      </c>
    </row>
    <row r="30" spans="1:14" x14ac:dyDescent="0.3">
      <c r="A30" s="6" t="s">
        <v>230</v>
      </c>
      <c r="B30" s="82">
        <f>(0.2)*L10</f>
        <v>50</v>
      </c>
      <c r="C30" s="6" t="s">
        <v>78</v>
      </c>
      <c r="D30" s="6" t="s">
        <v>231</v>
      </c>
      <c r="F30" s="6" t="s">
        <v>80</v>
      </c>
      <c r="G30" s="82">
        <f>_xlfn.CEILING.MATH(G28*B27)</f>
        <v>338</v>
      </c>
      <c r="H30" s="6" t="s">
        <v>78</v>
      </c>
      <c r="I30" s="6" t="s">
        <v>81</v>
      </c>
      <c r="K30" s="6" t="s">
        <v>223</v>
      </c>
      <c r="L30" s="82">
        <f>MAX(FLOOR(B9/B8-L31,1))</f>
        <v>8</v>
      </c>
      <c r="M30" s="6" t="s">
        <v>222</v>
      </c>
      <c r="N30" s="6" t="s">
        <v>221</v>
      </c>
    </row>
    <row r="31" spans="1:14" x14ac:dyDescent="0.3">
      <c r="K31" s="6" t="s">
        <v>326</v>
      </c>
      <c r="L31" s="82">
        <f>1</f>
        <v>1</v>
      </c>
      <c r="M31" s="6" t="s">
        <v>222</v>
      </c>
      <c r="N31" s="6" t="s">
        <v>327</v>
      </c>
    </row>
    <row r="32" spans="1:14" x14ac:dyDescent="0.3">
      <c r="A32" s="6" t="s">
        <v>94</v>
      </c>
      <c r="B32" s="82">
        <v>2</v>
      </c>
      <c r="C32" s="6" t="s">
        <v>78</v>
      </c>
      <c r="D32" s="6" t="s">
        <v>95</v>
      </c>
      <c r="F32" s="6" t="s">
        <v>85</v>
      </c>
      <c r="G32" s="81">
        <f>B21*PI()*G28*G30*0.001</f>
        <v>105.8616</v>
      </c>
      <c r="H32" s="6" t="s">
        <v>86</v>
      </c>
      <c r="I32" s="6" t="s">
        <v>87</v>
      </c>
      <c r="K32" s="6" t="s">
        <v>225</v>
      </c>
      <c r="L32" s="82">
        <f>(G28/2)+B33+B34+(L21/2)</f>
        <v>97.998941716997621</v>
      </c>
      <c r="M32" s="6" t="s">
        <v>78</v>
      </c>
      <c r="N32" s="6" t="s">
        <v>227</v>
      </c>
    </row>
    <row r="33" spans="1:14" x14ac:dyDescent="0.3">
      <c r="A33" s="6" t="s">
        <v>96</v>
      </c>
      <c r="B33" s="82">
        <v>1.5</v>
      </c>
      <c r="C33" s="6" t="s">
        <v>78</v>
      </c>
      <c r="D33" s="6" t="s">
        <v>97</v>
      </c>
      <c r="F33" s="6" t="s">
        <v>88</v>
      </c>
      <c r="G33" s="81">
        <f>G32/B8</f>
        <v>17.643599999999999</v>
      </c>
      <c r="H33" s="6" t="s">
        <v>86</v>
      </c>
      <c r="I33" s="6" t="s">
        <v>89</v>
      </c>
      <c r="K33" s="6" t="s">
        <v>228</v>
      </c>
      <c r="L33" s="82">
        <f>L30*G43*L32</f>
        <v>91.221557143020462</v>
      </c>
      <c r="M33" s="6" t="s">
        <v>78</v>
      </c>
      <c r="N33" s="6" t="s">
        <v>229</v>
      </c>
    </row>
    <row r="34" spans="1:14" x14ac:dyDescent="0.3">
      <c r="A34" s="6" t="s">
        <v>99</v>
      </c>
      <c r="B34" s="82">
        <v>1</v>
      </c>
      <c r="C34" s="6" t="s">
        <v>78</v>
      </c>
      <c r="D34" s="6" t="s">
        <v>98</v>
      </c>
      <c r="F34" s="6" t="s">
        <v>108</v>
      </c>
      <c r="G34" s="81">
        <f>(G33/2)*SIN((PI()*B8)/B9)</f>
        <v>3.0172333003903842</v>
      </c>
      <c r="H34" s="6" t="s">
        <v>86</v>
      </c>
      <c r="I34" s="6" t="s">
        <v>109</v>
      </c>
      <c r="K34" s="6" t="s">
        <v>232</v>
      </c>
      <c r="L34" s="82">
        <f>(2*L10)+(4*B30)+(2*L33)</f>
        <v>882.4431142860409</v>
      </c>
      <c r="M34" s="6" t="s">
        <v>78</v>
      </c>
      <c r="N34" s="6" t="s">
        <v>233</v>
      </c>
    </row>
    <row r="35" spans="1:14" x14ac:dyDescent="0.3">
      <c r="F35" s="6" t="s">
        <v>323</v>
      </c>
      <c r="G35" s="81">
        <f>G33/2</f>
        <v>8.8217999999999996</v>
      </c>
      <c r="H35" s="6" t="s">
        <v>86</v>
      </c>
      <c r="I35" s="6" t="s">
        <v>324</v>
      </c>
      <c r="K35" s="6" t="s">
        <v>256</v>
      </c>
      <c r="L35" s="82">
        <f>L4*Material_Properties!D11*1000*(L34/L17)</f>
        <v>1.31035457730598E-2</v>
      </c>
      <c r="M35" s="6" t="s">
        <v>258</v>
      </c>
      <c r="N35" s="6" t="s">
        <v>257</v>
      </c>
    </row>
    <row r="36" spans="1:14" x14ac:dyDescent="0.3">
      <c r="A36" s="6" t="s">
        <v>100</v>
      </c>
      <c r="B36" s="82">
        <v>1.6</v>
      </c>
      <c r="C36" s="6" t="s">
        <v>64</v>
      </c>
      <c r="D36" s="6" t="s">
        <v>101</v>
      </c>
      <c r="K36" s="6" t="s">
        <v>264</v>
      </c>
      <c r="L36" s="84">
        <f>L35*(B9/3)*1/B11^2</f>
        <v>2.9118990606799558E-3</v>
      </c>
      <c r="M36" s="6" t="s">
        <v>258</v>
      </c>
      <c r="N36" s="6" t="s">
        <v>421</v>
      </c>
    </row>
    <row r="37" spans="1:14" x14ac:dyDescent="0.3">
      <c r="A37" s="6" t="s">
        <v>102</v>
      </c>
      <c r="B37" s="82">
        <v>1.4</v>
      </c>
      <c r="C37" s="6" t="s">
        <v>64</v>
      </c>
      <c r="D37" s="6" t="s">
        <v>105</v>
      </c>
      <c r="F37" s="6" t="s">
        <v>110</v>
      </c>
      <c r="G37" s="81">
        <f>G34*1000/(B36*G30*B42)</f>
        <v>5.8728458821052323</v>
      </c>
      <c r="H37" s="6" t="s">
        <v>78</v>
      </c>
      <c r="I37" s="6" t="s">
        <v>111</v>
      </c>
      <c r="K37" s="6" t="s">
        <v>422</v>
      </c>
      <c r="L37" s="84">
        <f>L36*B59</f>
        <v>3.7854687788839428E-3</v>
      </c>
      <c r="M37" s="6" t="s">
        <v>258</v>
      </c>
      <c r="N37" s="6" t="s">
        <v>423</v>
      </c>
    </row>
    <row r="38" spans="1:14" x14ac:dyDescent="0.3">
      <c r="A38" s="6" t="s">
        <v>325</v>
      </c>
      <c r="B38" s="82">
        <v>0.65</v>
      </c>
      <c r="C38" s="6" t="s">
        <v>64</v>
      </c>
      <c r="D38" s="6" t="s">
        <v>182</v>
      </c>
      <c r="F38" s="6" t="s">
        <v>115</v>
      </c>
      <c r="G38" s="81">
        <f>(G33*1000)/(2*B37*G30*B42)</f>
        <v>19.624060150375939</v>
      </c>
      <c r="H38" s="6" t="s">
        <v>78</v>
      </c>
      <c r="I38" s="6" t="s">
        <v>112</v>
      </c>
      <c r="K38" s="6" t="s">
        <v>265</v>
      </c>
      <c r="L38" s="81">
        <f>3*L37*G9^2</f>
        <v>1860.7293426337226</v>
      </c>
      <c r="M38" s="6" t="s">
        <v>269</v>
      </c>
      <c r="N38" s="6" t="s">
        <v>268</v>
      </c>
    </row>
    <row r="39" spans="1:14" x14ac:dyDescent="0.3">
      <c r="A39" s="6" t="s">
        <v>461</v>
      </c>
      <c r="B39" s="82">
        <v>1</v>
      </c>
      <c r="C39" s="6" t="s">
        <v>64</v>
      </c>
      <c r="D39" s="6" t="s">
        <v>462</v>
      </c>
      <c r="F39" s="6" t="s">
        <v>114</v>
      </c>
      <c r="G39" s="82" cm="1">
        <f t="array" ref="G39">calculate_Wry(G33*1000,B38,G30,B42,G75,G65,G69)</f>
        <v>19.61411147473979</v>
      </c>
      <c r="H39" s="6" t="s">
        <v>78</v>
      </c>
      <c r="I39" s="6" t="s">
        <v>113</v>
      </c>
      <c r="L39" s="84"/>
    </row>
    <row r="40" spans="1:14" x14ac:dyDescent="0.3">
      <c r="A40" s="6" t="s">
        <v>103</v>
      </c>
      <c r="B40" s="82">
        <v>7</v>
      </c>
      <c r="C40" s="6" t="s">
        <v>104</v>
      </c>
      <c r="D40" s="6" t="s">
        <v>128</v>
      </c>
      <c r="K40" s="6" t="s">
        <v>392</v>
      </c>
      <c r="L40" s="81">
        <v>4</v>
      </c>
      <c r="M40" s="6" t="s">
        <v>78</v>
      </c>
      <c r="N40" s="6" t="s">
        <v>394</v>
      </c>
    </row>
    <row r="41" spans="1:14" x14ac:dyDescent="0.3">
      <c r="F41" s="6" t="s">
        <v>384</v>
      </c>
      <c r="G41" s="81" cm="1">
        <f t="array" ref="G41">calculate_bs1(G28,B33,B34,G30,G37,B9)</f>
        <v>4.5427641307901983</v>
      </c>
      <c r="H41" s="6" t="s">
        <v>78</v>
      </c>
      <c r="I41" s="6" t="s">
        <v>95</v>
      </c>
      <c r="K41" s="6" t="s">
        <v>393</v>
      </c>
      <c r="L41" s="81">
        <v>29</v>
      </c>
      <c r="M41" s="6" t="s">
        <v>78</v>
      </c>
      <c r="N41" s="6" t="s">
        <v>395</v>
      </c>
    </row>
    <row r="42" spans="1:14" x14ac:dyDescent="0.3">
      <c r="A42" s="6" t="s">
        <v>106</v>
      </c>
      <c r="B42" s="82">
        <v>0.95</v>
      </c>
      <c r="D42" s="6" t="s">
        <v>107</v>
      </c>
      <c r="F42" s="6" t="s">
        <v>385</v>
      </c>
      <c r="G42" s="83">
        <f>360/B9</f>
        <v>6.666666666666667</v>
      </c>
      <c r="H42" s="6" t="s">
        <v>186</v>
      </c>
      <c r="I42" s="6" t="s">
        <v>224</v>
      </c>
      <c r="K42" s="6" t="s">
        <v>185</v>
      </c>
      <c r="L42" s="82">
        <v>170</v>
      </c>
      <c r="M42" s="6" t="s">
        <v>415</v>
      </c>
    </row>
    <row r="43" spans="1:14" x14ac:dyDescent="0.3">
      <c r="A43" s="6" t="s">
        <v>321</v>
      </c>
      <c r="B43" s="82">
        <f>G30*B42</f>
        <v>321.09999999999997</v>
      </c>
      <c r="C43" s="6" t="s">
        <v>78</v>
      </c>
      <c r="D43" s="6" t="s">
        <v>322</v>
      </c>
      <c r="F43" s="6" t="s">
        <v>388</v>
      </c>
      <c r="G43" s="83">
        <f>RADIANS(G42)</f>
        <v>0.11635528346628864</v>
      </c>
      <c r="H43" s="6" t="s">
        <v>187</v>
      </c>
      <c r="I43" s="6" t="s">
        <v>226</v>
      </c>
      <c r="K43" s="6" t="s">
        <v>185</v>
      </c>
      <c r="L43" s="82">
        <f>RADIANS(L42)</f>
        <v>2.9670597283903604</v>
      </c>
      <c r="M43" s="6" t="s">
        <v>187</v>
      </c>
    </row>
    <row r="44" spans="1:14" x14ac:dyDescent="0.3">
      <c r="A44" s="6" t="s">
        <v>197</v>
      </c>
      <c r="B44" s="82">
        <v>0.5</v>
      </c>
      <c r="C44" s="6" t="s">
        <v>78</v>
      </c>
      <c r="D44" s="6" t="s">
        <v>198</v>
      </c>
      <c r="F44" s="6" t="s">
        <v>386</v>
      </c>
      <c r="G44" s="83">
        <f>180/B9</f>
        <v>3.3333333333333335</v>
      </c>
      <c r="H44" s="6" t="s">
        <v>186</v>
      </c>
      <c r="K44" s="6" t="s">
        <v>416</v>
      </c>
      <c r="L44" s="82">
        <f>180-L42</f>
        <v>10</v>
      </c>
      <c r="M44" s="6" t="s">
        <v>415</v>
      </c>
    </row>
    <row r="45" spans="1:14" x14ac:dyDescent="0.3">
      <c r="F45" s="6" t="s">
        <v>387</v>
      </c>
      <c r="G45" s="83">
        <f>RADIANS(G44)</f>
        <v>5.8177641733144318E-2</v>
      </c>
      <c r="H45" s="6" t="s">
        <v>187</v>
      </c>
      <c r="K45" s="6" t="s">
        <v>416</v>
      </c>
      <c r="L45" s="81">
        <f>RADIANS(L44)</f>
        <v>0.17453292519943295</v>
      </c>
      <c r="M45" s="6" t="s">
        <v>187</v>
      </c>
    </row>
    <row r="46" spans="1:14" x14ac:dyDescent="0.3">
      <c r="A46" s="6" t="s">
        <v>142</v>
      </c>
      <c r="B46" s="82">
        <v>1.3</v>
      </c>
      <c r="C46" s="6" t="s">
        <v>64</v>
      </c>
      <c r="D46" s="6" t="s">
        <v>147</v>
      </c>
      <c r="F46" s="6" t="s">
        <v>380</v>
      </c>
      <c r="G46" s="83">
        <f>90 - G44</f>
        <v>86.666666666666671</v>
      </c>
      <c r="H46" s="6" t="s">
        <v>186</v>
      </c>
      <c r="K46" s="6" t="s">
        <v>417</v>
      </c>
      <c r="L46" s="82">
        <v>9.5</v>
      </c>
      <c r="M46" s="6" t="s">
        <v>78</v>
      </c>
      <c r="N46" s="6" t="s">
        <v>189</v>
      </c>
    </row>
    <row r="47" spans="1:14" x14ac:dyDescent="0.3">
      <c r="A47" s="6" t="s">
        <v>143</v>
      </c>
      <c r="B47" s="82">
        <v>0.9</v>
      </c>
      <c r="D47" s="6" t="s">
        <v>148</v>
      </c>
      <c r="F47" s="6" t="s">
        <v>381</v>
      </c>
      <c r="G47" s="83">
        <f>RADIANS(G46)</f>
        <v>1.5126186850617525</v>
      </c>
      <c r="H47" s="6" t="s">
        <v>187</v>
      </c>
      <c r="K47" s="6" t="s">
        <v>63</v>
      </c>
      <c r="L47" s="82">
        <v>0.57379999999999998</v>
      </c>
      <c r="M47" s="6" t="s">
        <v>418</v>
      </c>
      <c r="N47" s="6" t="s">
        <v>396</v>
      </c>
    </row>
    <row r="48" spans="1:14" x14ac:dyDescent="0.3">
      <c r="A48" s="6" t="s">
        <v>144</v>
      </c>
      <c r="B48" s="82">
        <v>1.1499999999999999</v>
      </c>
      <c r="D48" s="6" t="s">
        <v>149</v>
      </c>
      <c r="F48" s="6" t="s">
        <v>139</v>
      </c>
      <c r="G48" s="81" cm="1">
        <f t="array" ref="G48">calculate_hs2(G28,B33,B34,G37,B9,G41,G22)</f>
        <v>12.403983803388455</v>
      </c>
      <c r="H48" s="6" t="s">
        <v>78</v>
      </c>
      <c r="I48" s="6" t="s">
        <v>98</v>
      </c>
      <c r="K48" s="6" t="s">
        <v>430</v>
      </c>
      <c r="L48" s="82">
        <f>_xlfn.CEILING.MATH(G28-2*(B29+L46+L40+G39))</f>
        <v>107</v>
      </c>
      <c r="M48" s="6" t="s">
        <v>78</v>
      </c>
      <c r="N48" s="6" t="s">
        <v>431</v>
      </c>
    </row>
    <row r="49" spans="1:14" x14ac:dyDescent="0.3">
      <c r="A49" s="6" t="s">
        <v>145</v>
      </c>
      <c r="B49" s="82">
        <v>-1005.3</v>
      </c>
      <c r="C49" s="6" t="s">
        <v>67</v>
      </c>
      <c r="D49" s="6" t="s">
        <v>150</v>
      </c>
      <c r="F49" s="6" t="s">
        <v>140</v>
      </c>
      <c r="G49" s="81" cm="1">
        <f t="array" ref="G49">calculate_bs2(G41,G48,G22)</f>
        <v>5.9876637042951515</v>
      </c>
      <c r="H49" s="6" t="s">
        <v>78</v>
      </c>
      <c r="I49" s="6" t="s">
        <v>141</v>
      </c>
    </row>
    <row r="50" spans="1:14" x14ac:dyDescent="0.3">
      <c r="A50" s="6" t="s">
        <v>146</v>
      </c>
      <c r="B50" s="82">
        <v>-200</v>
      </c>
      <c r="C50" s="6" t="s">
        <v>67</v>
      </c>
      <c r="D50" s="6" t="s">
        <v>151</v>
      </c>
      <c r="K50" s="6" t="s">
        <v>270</v>
      </c>
      <c r="L50" s="82" cm="1">
        <f t="array" ref="L50">calculate_Kg_cu(L18,L34,Material_Properties!D7,B9)</f>
        <v>11.618607872605052</v>
      </c>
      <c r="M50" s="6" t="s">
        <v>275</v>
      </c>
      <c r="N50" s="6" t="s">
        <v>276</v>
      </c>
    </row>
    <row r="51" spans="1:14" x14ac:dyDescent="0.3">
      <c r="F51" s="6" t="s">
        <v>162</v>
      </c>
      <c r="G51" s="82">
        <f>1/(1+5*B29/G41)</f>
        <v>0.56482622851005748</v>
      </c>
      <c r="I51" s="6" t="s">
        <v>161</v>
      </c>
      <c r="K51" s="6" t="s">
        <v>328</v>
      </c>
      <c r="L51" s="82" cm="1">
        <f t="array" ref="L51">Calculate_SSA(B33,B32,G41,B34,L24,L21)</f>
        <v>100.3168993067744</v>
      </c>
      <c r="M51" s="6" t="s">
        <v>330</v>
      </c>
      <c r="N51" s="6" t="s">
        <v>329</v>
      </c>
    </row>
    <row r="52" spans="1:14" x14ac:dyDescent="0.3">
      <c r="A52" s="6" t="s">
        <v>178</v>
      </c>
      <c r="B52" s="82">
        <v>1</v>
      </c>
      <c r="C52" s="6" t="s">
        <v>78</v>
      </c>
      <c r="D52" s="6" t="s">
        <v>184</v>
      </c>
      <c r="F52" s="6" t="s">
        <v>382</v>
      </c>
      <c r="G52" s="82">
        <f>PI()*G28/B9</f>
        <v>10.12290966156711</v>
      </c>
      <c r="H52" s="6" t="s">
        <v>78</v>
      </c>
      <c r="I52" s="6" t="s">
        <v>168</v>
      </c>
      <c r="K52" s="6" t="s">
        <v>331</v>
      </c>
      <c r="L52" s="81" cm="1">
        <f t="array" ref="L52">Calculate_SLA(B9,L51,L26,G28)</f>
        <v>21076.723683320306</v>
      </c>
      <c r="M52" s="6" t="s">
        <v>330</v>
      </c>
      <c r="N52" s="6" t="s">
        <v>332</v>
      </c>
    </row>
    <row r="53" spans="1:14" x14ac:dyDescent="0.3">
      <c r="A53" s="6" t="s">
        <v>179</v>
      </c>
      <c r="B53" s="82">
        <v>1</v>
      </c>
      <c r="C53" s="6" t="s">
        <v>78</v>
      </c>
      <c r="D53" s="6" t="s">
        <v>183</v>
      </c>
      <c r="F53" s="6" t="s">
        <v>383</v>
      </c>
      <c r="G53" s="81">
        <f>G37+G41</f>
        <v>10.415610012895431</v>
      </c>
      <c r="H53" s="6" t="s">
        <v>78</v>
      </c>
      <c r="K53" s="6" t="s">
        <v>333</v>
      </c>
      <c r="L53" s="81" cm="1">
        <f t="array" ref="L53">Calculate_RLA(G28,B29,L27,B8,G66,G65)</f>
        <v>15636.790561699647</v>
      </c>
      <c r="M53" s="6" t="s">
        <v>330</v>
      </c>
      <c r="N53" s="6" t="s">
        <v>334</v>
      </c>
    </row>
    <row r="54" spans="1:14" x14ac:dyDescent="0.3">
      <c r="F54" s="6" t="s">
        <v>167</v>
      </c>
      <c r="G54" s="82">
        <v>71363.572184000004</v>
      </c>
      <c r="H54" s="6" t="s">
        <v>177</v>
      </c>
      <c r="I54" s="6" t="s">
        <v>169</v>
      </c>
      <c r="K54" s="6" t="s">
        <v>271</v>
      </c>
      <c r="L54" s="81" cm="1">
        <f t="array" ref="L54">calculate_Kg_stator(L10,Material_Properties!D8,L52)</f>
        <v>41.363070228516101</v>
      </c>
      <c r="M54" s="6" t="s">
        <v>275</v>
      </c>
      <c r="N54" s="6" t="s">
        <v>277</v>
      </c>
    </row>
    <row r="55" spans="1:14" x14ac:dyDescent="0.3">
      <c r="A55" s="6" t="s">
        <v>180</v>
      </c>
      <c r="B55" s="82">
        <v>0.7</v>
      </c>
      <c r="D55" s="6" t="s">
        <v>181</v>
      </c>
      <c r="F55" s="6" t="s">
        <v>171</v>
      </c>
      <c r="G55" s="84">
        <v>1.256637061E-6</v>
      </c>
      <c r="H55" s="6" t="s">
        <v>156</v>
      </c>
      <c r="I55" s="6" t="s">
        <v>170</v>
      </c>
      <c r="K55" s="6" t="s">
        <v>272</v>
      </c>
      <c r="L55" s="81" cm="1">
        <f t="array" ref="L55">calculate_Kg_rotor(L53,L10,Material_Properties!D8)</f>
        <v>30.687201477335563</v>
      </c>
      <c r="M55" s="6" t="s">
        <v>275</v>
      </c>
      <c r="N55" s="6" t="s">
        <v>278</v>
      </c>
    </row>
    <row r="56" spans="1:14" x14ac:dyDescent="0.3">
      <c r="F56" s="6" t="s">
        <v>163</v>
      </c>
      <c r="G56" s="81">
        <f>G54*G55*G53/B29</f>
        <v>1.3343603091568772</v>
      </c>
      <c r="I56" s="6" t="s">
        <v>165</v>
      </c>
      <c r="K56" s="6" t="s">
        <v>273</v>
      </c>
      <c r="L56" s="81" cm="1">
        <f t="array" ref="L56">calculate_Kg_mag(B8,G66,G65,L10,Material_Properties!D9)</f>
        <v>2.1011792950162</v>
      </c>
      <c r="M56" s="6" t="s">
        <v>275</v>
      </c>
      <c r="N56" s="6" t="s">
        <v>279</v>
      </c>
    </row>
    <row r="57" spans="1:14" x14ac:dyDescent="0.3">
      <c r="A57" s="6" t="s">
        <v>234</v>
      </c>
      <c r="B57" s="82">
        <v>40</v>
      </c>
      <c r="C57" s="6" t="s">
        <v>238</v>
      </c>
      <c r="D57" s="6" t="s">
        <v>236</v>
      </c>
      <c r="F57" s="6" t="s">
        <v>164</v>
      </c>
      <c r="G57" s="81">
        <f>G56*B29</f>
        <v>0.93405221640981395</v>
      </c>
      <c r="H57" s="6" t="s">
        <v>78</v>
      </c>
      <c r="I57" s="6" t="s">
        <v>166</v>
      </c>
      <c r="K57" s="6" t="s">
        <v>274</v>
      </c>
      <c r="L57" s="81">
        <f>SUM(L50,L54,L55,L56)</f>
        <v>85.770058873472905</v>
      </c>
      <c r="M57" s="6" t="s">
        <v>275</v>
      </c>
      <c r="N57" s="6" t="s">
        <v>280</v>
      </c>
    </row>
    <row r="58" spans="1:14" x14ac:dyDescent="0.3">
      <c r="A58" s="6" t="s">
        <v>235</v>
      </c>
      <c r="B58" s="82">
        <v>100</v>
      </c>
      <c r="C58" s="6" t="s">
        <v>238</v>
      </c>
      <c r="D58" s="6" t="s">
        <v>237</v>
      </c>
      <c r="L58" s="81"/>
    </row>
    <row r="59" spans="1:14" x14ac:dyDescent="0.3">
      <c r="A59" s="6" t="s">
        <v>424</v>
      </c>
      <c r="B59" s="82">
        <v>1.3</v>
      </c>
      <c r="D59" s="6" t="s">
        <v>425</v>
      </c>
      <c r="F59" s="6" t="s">
        <v>152</v>
      </c>
      <c r="G59" s="81">
        <f>B20*SIN(1.047197551)</f>
        <v>0.77942286331752586</v>
      </c>
      <c r="H59" s="6" t="s">
        <v>64</v>
      </c>
      <c r="I59" s="6" t="s">
        <v>157</v>
      </c>
      <c r="K59" s="6" t="s">
        <v>284</v>
      </c>
      <c r="L59" s="81">
        <f>B3/L57</f>
        <v>1.5246072368506138</v>
      </c>
      <c r="M59" s="6" t="s">
        <v>282</v>
      </c>
      <c r="N59" s="6" t="s">
        <v>281</v>
      </c>
    </row>
    <row r="60" spans="1:14" x14ac:dyDescent="0.3">
      <c r="A60" s="6" t="s">
        <v>463</v>
      </c>
      <c r="B60" s="82">
        <v>177.7</v>
      </c>
      <c r="D60" s="6" t="s">
        <v>464</v>
      </c>
      <c r="F60" s="6" t="s">
        <v>153</v>
      </c>
      <c r="G60" s="81">
        <f>G59/G55</f>
        <v>620245.00749427266</v>
      </c>
      <c r="H60" s="6" t="s">
        <v>158</v>
      </c>
      <c r="I60" s="6" t="s">
        <v>172</v>
      </c>
      <c r="K60" s="6" t="s">
        <v>283</v>
      </c>
      <c r="L60" s="81">
        <f>G6/L57</f>
        <v>2.7573724806331583</v>
      </c>
      <c r="M60" s="6" t="s">
        <v>286</v>
      </c>
      <c r="N60" s="6" t="s">
        <v>285</v>
      </c>
    </row>
    <row r="61" spans="1:14" x14ac:dyDescent="0.3">
      <c r="A61" s="6" t="s">
        <v>467</v>
      </c>
      <c r="B61" s="82">
        <v>2.92</v>
      </c>
      <c r="D61" s="6" t="s">
        <v>465</v>
      </c>
      <c r="F61" s="6" t="s">
        <v>154</v>
      </c>
      <c r="G61" s="82">
        <f>-B46/(B49*1000)</f>
        <v>1.2931463244802546E-6</v>
      </c>
      <c r="H61" s="6" t="s">
        <v>156</v>
      </c>
      <c r="I61" s="6" t="s">
        <v>155</v>
      </c>
      <c r="K61" s="6" t="s">
        <v>287</v>
      </c>
      <c r="L61" s="81">
        <f>G6/SQRT(L38)</f>
        <v>5.4826376226204649</v>
      </c>
      <c r="M61" s="6" t="s">
        <v>289</v>
      </c>
      <c r="N61" s="6" t="s">
        <v>288</v>
      </c>
    </row>
    <row r="62" spans="1:14" x14ac:dyDescent="0.3">
      <c r="A62" s="6" t="s">
        <v>468</v>
      </c>
      <c r="B62" s="82">
        <v>1.66</v>
      </c>
      <c r="D62" s="6" t="s">
        <v>466</v>
      </c>
      <c r="G62" s="81"/>
      <c r="K62" s="6" t="s">
        <v>474</v>
      </c>
      <c r="L62" s="81">
        <f>G6/G13</f>
        <v>0.41313786969932287</v>
      </c>
      <c r="M62" s="6" t="s">
        <v>475</v>
      </c>
      <c r="N62" s="6" t="s">
        <v>476</v>
      </c>
    </row>
    <row r="63" spans="1:14" x14ac:dyDescent="0.3">
      <c r="F63" s="6" t="s">
        <v>159</v>
      </c>
      <c r="G63" s="81">
        <f>G61*B50*1000+B46</f>
        <v>1.0413707351039492</v>
      </c>
      <c r="H63" s="6" t="s">
        <v>64</v>
      </c>
      <c r="I63" s="6" t="s">
        <v>160</v>
      </c>
      <c r="L63" s="81"/>
    </row>
    <row r="64" spans="1:14" x14ac:dyDescent="0.3">
      <c r="K64" s="6" t="s">
        <v>426</v>
      </c>
      <c r="L64" s="82">
        <v>21350.382989999998</v>
      </c>
      <c r="M64" s="6" t="s">
        <v>330</v>
      </c>
      <c r="N64" s="6" t="s">
        <v>428</v>
      </c>
    </row>
    <row r="65" spans="6:14" x14ac:dyDescent="0.3">
      <c r="F65" s="93" t="s">
        <v>173</v>
      </c>
      <c r="G65" s="93">
        <f>ABS(G60*G57*B48/(B50*1000))</f>
        <v>3.3312120378110954</v>
      </c>
      <c r="H65" s="93" t="s">
        <v>78</v>
      </c>
      <c r="I65" s="93" t="s">
        <v>175</v>
      </c>
      <c r="K65" s="6" t="s">
        <v>438</v>
      </c>
      <c r="L65" s="82">
        <v>12796.238069999999</v>
      </c>
      <c r="M65" s="6" t="s">
        <v>330</v>
      </c>
      <c r="N65" s="6" t="s">
        <v>439</v>
      </c>
    </row>
    <row r="66" spans="6:14" x14ac:dyDescent="0.3">
      <c r="F66" s="93" t="s">
        <v>174</v>
      </c>
      <c r="G66" s="94">
        <f>B21*G29/(B47*G63*2)</f>
        <v>27.847911432910806</v>
      </c>
      <c r="H66" s="93" t="s">
        <v>78</v>
      </c>
      <c r="I66" s="93" t="s">
        <v>176</v>
      </c>
      <c r="K66" s="6" t="s">
        <v>427</v>
      </c>
      <c r="L66" s="82">
        <f>L64*L10</f>
        <v>5337595.7474999996</v>
      </c>
      <c r="M66" s="6" t="s">
        <v>366</v>
      </c>
      <c r="N66" s="6" t="s">
        <v>429</v>
      </c>
    </row>
    <row r="67" spans="6:14" x14ac:dyDescent="0.3">
      <c r="K67" s="6" t="s">
        <v>436</v>
      </c>
      <c r="L67" s="82">
        <f>L65*L10</f>
        <v>3199059.5175000001</v>
      </c>
      <c r="M67" s="6" t="s">
        <v>366</v>
      </c>
      <c r="N67" s="6" t="s">
        <v>437</v>
      </c>
    </row>
    <row r="68" spans="6:14" x14ac:dyDescent="0.3">
      <c r="F68" s="6" t="s">
        <v>185</v>
      </c>
      <c r="G68" s="81">
        <f>DEGREES(B55*PI())</f>
        <v>126</v>
      </c>
      <c r="H68" s="6" t="s">
        <v>186</v>
      </c>
      <c r="K68" s="6" t="s">
        <v>362</v>
      </c>
      <c r="L68" s="82">
        <f>(L66-L69)/B9</f>
        <v>31060.856104890772</v>
      </c>
      <c r="M68" s="6" t="s">
        <v>366</v>
      </c>
      <c r="N68" s="6" t="s">
        <v>364</v>
      </c>
    </row>
    <row r="69" spans="6:14" x14ac:dyDescent="0.3">
      <c r="F69" s="6" t="s">
        <v>391</v>
      </c>
      <c r="G69" s="81">
        <f>RADIANS(G68)</f>
        <v>2.1991148575128552</v>
      </c>
      <c r="H69" s="6" t="s">
        <v>187</v>
      </c>
      <c r="K69" s="6" t="s">
        <v>363</v>
      </c>
      <c r="L69" s="82">
        <f>PI()*(POWER((L26/2),2) - POWER(((G28/2)+B33+B34+L21),2))*L10</f>
        <v>3660309.5178358979</v>
      </c>
      <c r="M69" s="6" t="s">
        <v>366</v>
      </c>
      <c r="N69" s="6" t="s">
        <v>365</v>
      </c>
    </row>
    <row r="70" spans="6:14" x14ac:dyDescent="0.3">
      <c r="F70" s="6" t="s">
        <v>408</v>
      </c>
      <c r="G70" s="82">
        <f>180-G68</f>
        <v>54</v>
      </c>
      <c r="H70" s="6" t="s">
        <v>186</v>
      </c>
      <c r="K70" s="6" t="s">
        <v>367</v>
      </c>
      <c r="L70" s="82">
        <f>L26/2</f>
        <v>126.5</v>
      </c>
      <c r="M70" s="6" t="s">
        <v>78</v>
      </c>
      <c r="N70" s="6" t="s">
        <v>368</v>
      </c>
    </row>
    <row r="71" spans="6:14" x14ac:dyDescent="0.3">
      <c r="F71" s="6" t="s">
        <v>409</v>
      </c>
      <c r="G71" s="82">
        <f>RADIANS(G70)</f>
        <v>0.94247779607693793</v>
      </c>
      <c r="H71" s="6" t="s">
        <v>187</v>
      </c>
      <c r="K71" s="6" t="s">
        <v>440</v>
      </c>
      <c r="L71" s="82">
        <f>L66+L67</f>
        <v>8536655.2650000006</v>
      </c>
      <c r="M71" s="6" t="s">
        <v>366</v>
      </c>
      <c r="N71" s="6" t="s">
        <v>441</v>
      </c>
    </row>
    <row r="72" spans="6:14" x14ac:dyDescent="0.3">
      <c r="G72" s="83"/>
    </row>
    <row r="73" spans="6:14" x14ac:dyDescent="0.3">
      <c r="F73" s="6" t="s">
        <v>401</v>
      </c>
      <c r="G73" s="82" cm="1">
        <f t="array" ref="G73">DEGREES(2*ASIN(calculate_beta_v(G66,G69,G28,B29,B53,B52)))</f>
        <v>34.524862861745063</v>
      </c>
      <c r="H73" s="6" t="s">
        <v>186</v>
      </c>
      <c r="I73" s="6" t="s">
        <v>389</v>
      </c>
      <c r="K73" s="6" t="s">
        <v>369</v>
      </c>
      <c r="L73" s="82">
        <f>B60*POWER(B37,2)*G15*(L68*10^(-9))*B9</f>
        <v>154.22493913257267</v>
      </c>
      <c r="M73" s="6" t="s">
        <v>269</v>
      </c>
      <c r="N73" s="6" t="s">
        <v>442</v>
      </c>
    </row>
    <row r="74" spans="6:14" x14ac:dyDescent="0.3">
      <c r="F74" s="6" t="s">
        <v>402</v>
      </c>
      <c r="G74" s="83">
        <f>RADIANS(G73)</f>
        <v>0.60257253073696315</v>
      </c>
      <c r="H74" s="6" t="s">
        <v>187</v>
      </c>
      <c r="I74" s="6" t="s">
        <v>390</v>
      </c>
      <c r="K74" s="6" t="s">
        <v>372</v>
      </c>
      <c r="L74" s="82">
        <f>B60*POWER(B37,2)*G15*(L69*10^(-9))</f>
        <v>336.56212196273043</v>
      </c>
      <c r="M74" s="6" t="s">
        <v>269</v>
      </c>
      <c r="N74" s="6" t="s">
        <v>375</v>
      </c>
    </row>
    <row r="75" spans="6:14" x14ac:dyDescent="0.3">
      <c r="F75" s="6" t="s">
        <v>188</v>
      </c>
      <c r="G75" s="82" cm="1">
        <f t="array" ref="G75">calculate_dpc(G28,B29,B52,G74,G66,G69)</f>
        <v>17.484976123524568</v>
      </c>
      <c r="H75" s="6" t="s">
        <v>78</v>
      </c>
      <c r="I75" s="6" t="s">
        <v>189</v>
      </c>
      <c r="K75" s="6" t="s">
        <v>443</v>
      </c>
      <c r="L75" s="82">
        <f>B60*POWER(B39,2)*G15*(L67*10^(-9))</f>
        <v>150.076839332574</v>
      </c>
      <c r="M75" s="6" t="s">
        <v>269</v>
      </c>
      <c r="N75" s="6" t="s">
        <v>444</v>
      </c>
    </row>
    <row r="76" spans="6:14" x14ac:dyDescent="0.3">
      <c r="G76" s="83"/>
      <c r="K76" s="6" t="s">
        <v>445</v>
      </c>
      <c r="L76" s="82">
        <f>L73+L74+L75</f>
        <v>640.86390042787707</v>
      </c>
      <c r="M76" s="6" t="s">
        <v>269</v>
      </c>
      <c r="N76" s="6" t="s">
        <v>446</v>
      </c>
    </row>
    <row r="77" spans="6:14" x14ac:dyDescent="0.3">
      <c r="G77" s="83"/>
    </row>
    <row r="78" spans="6:14" x14ac:dyDescent="0.3">
      <c r="K78" s="6" t="s">
        <v>370</v>
      </c>
      <c r="L78" s="82">
        <f>B61*POWER(G15,2)*POWER(B37,2)*(L68*10^(-9))*B9</f>
        <v>669.04288732986845</v>
      </c>
      <c r="M78" s="6" t="s">
        <v>269</v>
      </c>
      <c r="N78" s="6" t="s">
        <v>447</v>
      </c>
    </row>
    <row r="79" spans="6:14" x14ac:dyDescent="0.3">
      <c r="G79" s="81"/>
      <c r="K79" s="6" t="s">
        <v>373</v>
      </c>
      <c r="L79" s="82">
        <f>B61*POWER(G15,2)*POWER(B37,2)*(L69*10^(-9))</f>
        <v>1460.0394405100151</v>
      </c>
      <c r="M79" s="6" t="s">
        <v>269</v>
      </c>
      <c r="N79" s="6" t="s">
        <v>376</v>
      </c>
    </row>
    <row r="80" spans="6:14" x14ac:dyDescent="0.3">
      <c r="K80" s="6" t="s">
        <v>448</v>
      </c>
      <c r="L80" s="82">
        <f>B61*POWER(G15,2)*POWER(B39,2)*(L67*10^(-9))</f>
        <v>651.04802422450564</v>
      </c>
      <c r="M80" s="6" t="s">
        <v>269</v>
      </c>
      <c r="N80" s="6" t="s">
        <v>449</v>
      </c>
    </row>
    <row r="81" spans="11:14" x14ac:dyDescent="0.3">
      <c r="K81" s="6" t="s">
        <v>450</v>
      </c>
      <c r="L81" s="82">
        <f>L78+L79+L80</f>
        <v>2780.1303520643892</v>
      </c>
      <c r="M81" s="6" t="s">
        <v>269</v>
      </c>
      <c r="N81" s="6" t="s">
        <v>451</v>
      </c>
    </row>
    <row r="83" spans="11:14" x14ac:dyDescent="0.3">
      <c r="K83" s="6" t="s">
        <v>371</v>
      </c>
      <c r="L83" s="82">
        <f>B62*POWER(G15,1.5)*POWER(B36,1.5)*(L68*10^(-9))*B9</f>
        <v>24.171362625083379</v>
      </c>
      <c r="M83" s="6" t="s">
        <v>269</v>
      </c>
      <c r="N83" s="6" t="s">
        <v>454</v>
      </c>
    </row>
    <row r="84" spans="11:14" x14ac:dyDescent="0.3">
      <c r="K84" s="6" t="s">
        <v>374</v>
      </c>
      <c r="L84" s="82">
        <f>B62*POWER(G15,1.5)*POWER(B37,1.5)*(L69*10^(-9))</f>
        <v>43.174154665833598</v>
      </c>
      <c r="M84" s="6" t="s">
        <v>269</v>
      </c>
      <c r="N84" s="6" t="s">
        <v>377</v>
      </c>
    </row>
    <row r="85" spans="11:14" x14ac:dyDescent="0.3">
      <c r="K85" s="6" t="s">
        <v>452</v>
      </c>
      <c r="L85" s="82">
        <f>B62*POWER(G15,1.5)*POWER(B39,1.5)*(L67*10^(-9))</f>
        <v>22.779086219446178</v>
      </c>
      <c r="M85" s="6" t="s">
        <v>269</v>
      </c>
      <c r="N85" s="6" t="s">
        <v>455</v>
      </c>
    </row>
    <row r="86" spans="11:14" x14ac:dyDescent="0.3">
      <c r="K86" s="6" t="s">
        <v>453</v>
      </c>
      <c r="L86" s="82">
        <f>L83+L84+L85</f>
        <v>90.124603510363158</v>
      </c>
      <c r="M86" s="6" t="s">
        <v>269</v>
      </c>
      <c r="N86" s="6" t="s">
        <v>456</v>
      </c>
    </row>
    <row r="88" spans="11:14" x14ac:dyDescent="0.3">
      <c r="K88" s="6" t="s">
        <v>457</v>
      </c>
      <c r="L88" s="82">
        <f>L76+L81+L86</f>
        <v>3511.1188560026294</v>
      </c>
      <c r="M88" s="6" t="s">
        <v>269</v>
      </c>
      <c r="N88" s="6" t="s">
        <v>458</v>
      </c>
    </row>
    <row r="89" spans="11:14" x14ac:dyDescent="0.3">
      <c r="K89" s="6" t="s">
        <v>459</v>
      </c>
      <c r="L89" s="82">
        <f>0.01*G4</f>
        <v>1.3764805522484209</v>
      </c>
      <c r="M89" s="6" t="s">
        <v>269</v>
      </c>
      <c r="N89" s="6" t="s">
        <v>460</v>
      </c>
    </row>
    <row r="90" spans="11:14" x14ac:dyDescent="0.3">
      <c r="K90" s="6" t="s">
        <v>472</v>
      </c>
      <c r="L90" s="82">
        <f>((G4*1000)-(L38+L88+L89))/1000</f>
        <v>132.27483054565351</v>
      </c>
      <c r="M90" s="6" t="s">
        <v>4</v>
      </c>
      <c r="N90" s="6" t="s">
        <v>18</v>
      </c>
    </row>
    <row r="91" spans="11:14" x14ac:dyDescent="0.3">
      <c r="K91" s="6" t="s">
        <v>434</v>
      </c>
      <c r="L91" s="82">
        <f>L90/G4</f>
        <v>0.96096403490473115</v>
      </c>
      <c r="N91" s="6" t="s">
        <v>435</v>
      </c>
    </row>
  </sheetData>
  <sheetProtection algorithmName="SHA-512" hashValue="ErWyQ2a9H0ULDhv3glEl6zqyziwBcQXh8cvSIT0YwbH6w4QDi5IGmZUz0U7vOIPo5HBLE7rb5gTE7oIXNnGHRg==" saltValue="qJi3qqaliLHWFvJqCFWIBA==" spinCount="100000" sheet="1" objects="1" scenarios="1"/>
  <pageMargins left="0.7" right="0.7" top="0.75" bottom="0.75" header="0.3" footer="0.3"/>
  <pageSetup orientation="portrait" r:id="rId1"/>
  <headerFooter>
    <oddHeader>&amp;L&amp;"-,Bold"&amp;15Design &amp; Analysis of IPMSM using FEM&amp;R&amp;12- By Mohana Segaran B
[immohanasegaran30@gmail.com]</oddHeader>
    <oddFooter>&amp;L&amp;12This work is licensed under the Creative Commons Attribution 4.0 International License. To view a copy of this license, visit https://creativecommons.org/licenses/by/4.0/.
Copyright © 2025 Mohana Segaran B.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Rated_values</vt:lpstr>
      <vt:lpstr>Main_dimensions</vt:lpstr>
      <vt:lpstr>Standard_Wire_Gauge</vt:lpstr>
      <vt:lpstr>Material_Properties</vt:lpstr>
      <vt:lpstr>Sensitivity_Analysis</vt:lpstr>
      <vt:lpstr>Slot_Pole_Combination</vt:lpstr>
      <vt:lpstr>SenAnaly_Source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Mohana Segaran</dc:creator>
  <cp:lastModifiedBy>Mohana Segaran</cp:lastModifiedBy>
  <dcterms:created xsi:type="dcterms:W3CDTF">2024-11-04T14:04:49Z</dcterms:created>
  <dcterms:modified xsi:type="dcterms:W3CDTF">2025-02-23T19:17:01Z</dcterms:modified>
</cp:coreProperties>
</file>